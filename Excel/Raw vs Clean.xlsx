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Excel\"/>
    </mc:Choice>
  </mc:AlternateContent>
  <xr:revisionPtr revIDLastSave="0" documentId="8_{4C3414C8-27D8-4939-8C9E-C43D6881F167}" xr6:coauthVersionLast="47" xr6:coauthVersionMax="47" xr10:uidLastSave="{00000000-0000-0000-0000-000000000000}"/>
  <bookViews>
    <workbookView xWindow="-108" yWindow="-108" windowWidth="23256" windowHeight="12456" activeTab="2" xr2:uid="{8AE9DFA9-217B-445F-B487-8F4C65653D9A}"/>
  </bookViews>
  <sheets>
    <sheet name="raw" sheetId="1" r:id="rId1"/>
    <sheet name="Sheet2" sheetId="2" r:id="rId2"/>
    <sheet name="clean" sheetId="3" r:id="rId3"/>
  </sheets>
  <definedNames>
    <definedName name="_xlnm._FilterDatabase" localSheetId="2" hidden="1">clean!$A$1:$L$1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 a="1"/>
  <c r="L3" i="3" s="1"/>
  <c r="L4" i="3" a="1"/>
  <c r="L4" i="3"/>
  <c r="L5" i="3" a="1"/>
  <c r="L5" i="3" s="1"/>
  <c r="L6" i="3" a="1"/>
  <c r="L6" i="3"/>
  <c r="L7" i="3" a="1"/>
  <c r="L7" i="3" s="1"/>
  <c r="L8" i="3" a="1"/>
  <c r="L8" i="3"/>
  <c r="L9" i="3" a="1"/>
  <c r="L9" i="3" s="1"/>
  <c r="L10" i="3" a="1"/>
  <c r="L10" i="3"/>
  <c r="L11" i="3" a="1"/>
  <c r="L11" i="3" s="1"/>
  <c r="L12" i="3" a="1"/>
  <c r="L12" i="3"/>
  <c r="L13" i="3" a="1"/>
  <c r="L13" i="3" s="1"/>
  <c r="L14" i="3" a="1"/>
  <c r="L14" i="3"/>
  <c r="L15" i="3" a="1"/>
  <c r="L15" i="3" s="1"/>
  <c r="L16" i="3" a="1"/>
  <c r="L16" i="3" s="1"/>
  <c r="L2" i="3" a="1"/>
  <c r="L2" i="3" s="1"/>
  <c r="K7" i="3"/>
  <c r="K8" i="3"/>
  <c r="K9" i="3"/>
  <c r="K10" i="3"/>
  <c r="K11" i="3"/>
  <c r="K12" i="3"/>
  <c r="K13" i="3"/>
  <c r="K14" i="3"/>
  <c r="K15" i="3"/>
  <c r="K16" i="3"/>
  <c r="K3" i="3"/>
  <c r="K4" i="3"/>
  <c r="K5" i="3"/>
  <c r="K6" i="3"/>
  <c r="K2" i="3"/>
  <c r="J7" i="3"/>
  <c r="J8" i="3"/>
  <c r="J9" i="3"/>
  <c r="J10" i="3"/>
  <c r="J11" i="3"/>
  <c r="J12" i="3"/>
  <c r="J13" i="3"/>
  <c r="J14" i="3"/>
  <c r="J15" i="3"/>
  <c r="J16" i="3"/>
  <c r="J6" i="3"/>
  <c r="J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E13" i="3"/>
  <c r="E8" i="3"/>
  <c r="E9" i="3"/>
  <c r="E7" i="3"/>
  <c r="E6" i="3"/>
  <c r="E10" i="3"/>
  <c r="E11" i="3"/>
  <c r="E12" i="3"/>
  <c r="E14" i="3"/>
  <c r="E15" i="3"/>
  <c r="E16" i="3"/>
  <c r="E3" i="3"/>
  <c r="E4" i="3"/>
  <c r="E5" i="3"/>
  <c r="E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<sst xmlns="http://schemas.openxmlformats.org/spreadsheetml/2006/main" count="275" uniqueCount="121">
  <si>
    <t>Emp ID</t>
  </si>
  <si>
    <t>Employee Name</t>
  </si>
  <si>
    <t>Gender</t>
  </si>
  <si>
    <t>Age</t>
  </si>
  <si>
    <t>Department</t>
  </si>
  <si>
    <t>Location</t>
  </si>
  <si>
    <t>Joining Date</t>
  </si>
  <si>
    <t>Email</t>
  </si>
  <si>
    <t>Salary</t>
  </si>
  <si>
    <t>Employment Type</t>
  </si>
  <si>
    <t>Performance</t>
  </si>
  <si>
    <t>E001</t>
  </si>
  <si>
    <t>John Michael</t>
  </si>
  <si>
    <t>Male</t>
  </si>
  <si>
    <t>Data Analytics</t>
  </si>
  <si>
    <t>Chennai</t>
  </si>
  <si>
    <t>john@gmail.com</t>
  </si>
  <si>
    <t>Full Time</t>
  </si>
  <si>
    <t>Excellent</t>
  </si>
  <si>
    <t>E002</t>
  </si>
  <si>
    <t>priya sharma</t>
  </si>
  <si>
    <t>Female</t>
  </si>
  <si>
    <t>data engineering</t>
  </si>
  <si>
    <t>Hyderabad</t>
  </si>
  <si>
    <t>priya@gmail.com</t>
  </si>
  <si>
    <t>Full-Time</t>
  </si>
  <si>
    <t>Good</t>
  </si>
  <si>
    <t>E003</t>
  </si>
  <si>
    <t>RAHUL KUMAR</t>
  </si>
  <si>
    <t>M</t>
  </si>
  <si>
    <t>rahul@gmail</t>
  </si>
  <si>
    <t>FT</t>
  </si>
  <si>
    <t>E004</t>
  </si>
  <si>
    <t>Anjali Devi</t>
  </si>
  <si>
    <t>F</t>
  </si>
  <si>
    <t>Finance</t>
  </si>
  <si>
    <t>Bangalore</t>
  </si>
  <si>
    <t>31-04-2024</t>
  </si>
  <si>
    <t>anjali@gmail.com</t>
  </si>
  <si>
    <t>E005</t>
  </si>
  <si>
    <t>Arjun Kumar</t>
  </si>
  <si>
    <t>HR</t>
  </si>
  <si>
    <t>arjun@gmail.com</t>
  </si>
  <si>
    <t>Part Time</t>
  </si>
  <si>
    <t>Average</t>
  </si>
  <si>
    <t>E006</t>
  </si>
  <si>
    <t>Sneha Rao</t>
  </si>
  <si>
    <t>IT</t>
  </si>
  <si>
    <t>sneha@gmail.com</t>
  </si>
  <si>
    <t>E007</t>
  </si>
  <si>
    <t>Karthik Raj</t>
  </si>
  <si>
    <t>karthik@gmail.com</t>
  </si>
  <si>
    <t>E008</t>
  </si>
  <si>
    <t>Divya Singh</t>
  </si>
  <si>
    <t>Mumbai</t>
  </si>
  <si>
    <t>divya@gmail.com</t>
  </si>
  <si>
    <t>good</t>
  </si>
  <si>
    <t>E009</t>
  </si>
  <si>
    <t>Ravi Kumar</t>
  </si>
  <si>
    <t>chennai</t>
  </si>
  <si>
    <t>ravi@gmail.com</t>
  </si>
  <si>
    <t>E010</t>
  </si>
  <si>
    <t>Meena Joseph</t>
  </si>
  <si>
    <t>meena@gmail.com</t>
  </si>
  <si>
    <t>E011</t>
  </si>
  <si>
    <t>E012</t>
  </si>
  <si>
    <t>Vikram Das</t>
  </si>
  <si>
    <t>Data Engineering</t>
  </si>
  <si>
    <t>vikram@gmail.com</t>
  </si>
  <si>
    <t>full time</t>
  </si>
  <si>
    <t>E013</t>
  </si>
  <si>
    <t>Pooja Nair</t>
  </si>
  <si>
    <t>pooja@gmail</t>
  </si>
  <si>
    <t>E014</t>
  </si>
  <si>
    <t>Suresh B</t>
  </si>
  <si>
    <t>suresh@gmail.com</t>
  </si>
  <si>
    <t>E015</t>
  </si>
  <si>
    <t>Lakshmi Priya</t>
  </si>
  <si>
    <t>lakshmi@gmail.com</t>
  </si>
  <si>
    <t>EXCELLENT</t>
  </si>
  <si>
    <t>Emp id</t>
  </si>
  <si>
    <t>name</t>
  </si>
  <si>
    <t>dep</t>
  </si>
  <si>
    <t>emp id</t>
  </si>
  <si>
    <t>salary</t>
  </si>
  <si>
    <t>a</t>
  </si>
  <si>
    <t>da</t>
  </si>
  <si>
    <t>b</t>
  </si>
  <si>
    <t>it</t>
  </si>
  <si>
    <t>Product</t>
  </si>
  <si>
    <t>Price</t>
  </si>
  <si>
    <t>laptop</t>
  </si>
  <si>
    <t>mobile</t>
  </si>
  <si>
    <t xml:space="preserve">product </t>
  </si>
  <si>
    <t>price</t>
  </si>
  <si>
    <t>sofa</t>
  </si>
  <si>
    <t>table</t>
  </si>
  <si>
    <t>MERGE QUERY</t>
  </si>
  <si>
    <t>APPEND QUERY</t>
  </si>
  <si>
    <t>DUPLICATES</t>
  </si>
  <si>
    <t>MIXED CASE</t>
  </si>
  <si>
    <t>Improper</t>
  </si>
  <si>
    <t>Missing values, Invalid data</t>
  </si>
  <si>
    <t>Mixed case</t>
  </si>
  <si>
    <t>Unwanted space</t>
  </si>
  <si>
    <t>Invalid</t>
  </si>
  <si>
    <t>mixed case</t>
  </si>
  <si>
    <t>Remove duplicates</t>
  </si>
  <si>
    <t>Upper</t>
  </si>
  <si>
    <t>Find and Replace</t>
  </si>
  <si>
    <t>Prefer not to say</t>
  </si>
  <si>
    <t>Handling missing values</t>
  </si>
  <si>
    <t>PROPER, UPPER</t>
  </si>
  <si>
    <t>PROPER</t>
  </si>
  <si>
    <t>Data format, Replaced with Valid date</t>
  </si>
  <si>
    <t>Invalid email</t>
  </si>
  <si>
    <t>Flagging the invalid email</t>
  </si>
  <si>
    <t>Not found</t>
  </si>
  <si>
    <t>Invalid salary</t>
  </si>
  <si>
    <t>Flagged value not found and invalid salalry</t>
  </si>
  <si>
    <t>Performance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</si>
</sst>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8" formatCode="[$-F800]dddd\,\ mmmm\ dd\,\ yyyy"/>
    <numFmt numFmtId="172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2" applyAlignment="1">
      <alignment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2" fontId="0" fillId="0" borderId="0" xfId="0" applyNumberFormat="1"/>
    <xf numFmtId="168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49" fontId="2" fillId="2" borderId="0" xfId="1" applyNumberFormat="1" applyFont="1" applyFill="1" applyAlignment="1" applyProtection="1">
      <alignment horizontal="right" vertical="center" wrapText="1"/>
      <protection hidden="1"/>
    </xf>
    <xf numFmtId="49" fontId="0" fillId="0" borderId="0" xfId="1" applyNumberFormat="1" applyFont="1" applyAlignment="1">
      <alignment horizontal="right" vertical="center" wrapText="1"/>
    </xf>
    <xf numFmtId="49" fontId="0" fillId="0" borderId="0" xfId="1" applyNumberFormat="1" applyFont="1"/>
    <xf numFmtId="49" fontId="2" fillId="2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49" fontId="3" fillId="0" borderId="0" xfId="2" applyNumberFormat="1" applyAlignment="1">
      <alignment vertical="center" wrapText="1"/>
    </xf>
    <xf numFmtId="172" fontId="2" fillId="2" borderId="0" xfId="0" applyNumberFormat="1" applyFont="1" applyFill="1" applyAlignment="1">
      <alignment horizontal="right" vertical="center" wrapText="1"/>
    </xf>
    <xf numFmtId="172" fontId="0" fillId="0" borderId="0" xfId="0" applyNumberFormat="1" applyAlignment="1">
      <alignment horizontal="right" vertical="center" wrapText="1"/>
    </xf>
    <xf numFmtId="172" fontId="0" fillId="0" borderId="0" xfId="0" applyNumberFormat="1"/>
    <xf numFmtId="2" fontId="2" fillId="2" borderId="0" xfId="0" applyNumberFormat="1" applyFont="1" applyFill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ena@gmail.com" TargetMode="External"/><Relationship Id="rId13" Type="http://schemas.openxmlformats.org/officeDocument/2006/relationships/hyperlink" Target="mailto:divya@gmail.com" TargetMode="External"/><Relationship Id="rId3" Type="http://schemas.openxmlformats.org/officeDocument/2006/relationships/hyperlink" Target="mailto:anjali@gmail.com" TargetMode="External"/><Relationship Id="rId7" Type="http://schemas.openxmlformats.org/officeDocument/2006/relationships/hyperlink" Target="mailto:ravi@gmail.com" TargetMode="External"/><Relationship Id="rId12" Type="http://schemas.openxmlformats.org/officeDocument/2006/relationships/hyperlink" Target="mailto:lakshmi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karthik@gmail.com" TargetMode="External"/><Relationship Id="rId11" Type="http://schemas.openxmlformats.org/officeDocument/2006/relationships/hyperlink" Target="mailto:suresh@gmail.com" TargetMode="External"/><Relationship Id="rId5" Type="http://schemas.openxmlformats.org/officeDocument/2006/relationships/hyperlink" Target="mailto:sneha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vikram@gmail.com" TargetMode="External"/><Relationship Id="rId4" Type="http://schemas.openxmlformats.org/officeDocument/2006/relationships/hyperlink" Target="mailto:arjun@gmail.com" TargetMode="External"/><Relationship Id="rId9" Type="http://schemas.openxmlformats.org/officeDocument/2006/relationships/hyperlink" Target="mailto:john@gmail.com" TargetMode="External"/><Relationship Id="rId14" Type="http://schemas.openxmlformats.org/officeDocument/2006/relationships/hyperlink" Target="mailto:divy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eena@gmail.com" TargetMode="External"/><Relationship Id="rId13" Type="http://schemas.openxmlformats.org/officeDocument/2006/relationships/hyperlink" Target="mailto:divya@gmail.com" TargetMode="External"/><Relationship Id="rId3" Type="http://schemas.openxmlformats.org/officeDocument/2006/relationships/hyperlink" Target="mailto:anjali@gmail.com" TargetMode="External"/><Relationship Id="rId7" Type="http://schemas.openxmlformats.org/officeDocument/2006/relationships/hyperlink" Target="mailto:ravi@gmail.com" TargetMode="External"/><Relationship Id="rId12" Type="http://schemas.openxmlformats.org/officeDocument/2006/relationships/hyperlink" Target="mailto:lakshmi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karthik@gmail.com" TargetMode="External"/><Relationship Id="rId11" Type="http://schemas.openxmlformats.org/officeDocument/2006/relationships/hyperlink" Target="mailto:suresh@gmail.com" TargetMode="External"/><Relationship Id="rId5" Type="http://schemas.openxmlformats.org/officeDocument/2006/relationships/hyperlink" Target="mailto:sneha@gmail.com" TargetMode="External"/><Relationship Id="rId10" Type="http://schemas.openxmlformats.org/officeDocument/2006/relationships/hyperlink" Target="mailto:vikram@gmail.com" TargetMode="External"/><Relationship Id="rId4" Type="http://schemas.openxmlformats.org/officeDocument/2006/relationships/hyperlink" Target="mailto:arjun@gmail.com" TargetMode="External"/><Relationship Id="rId9" Type="http://schemas.openxmlformats.org/officeDocument/2006/relationships/hyperlink" Target="mailto:john@gmail.com" TargetMode="External"/><Relationship Id="rId14" Type="http://schemas.openxmlformats.org/officeDocument/2006/relationships/hyperlink" Target="mailto:rahul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70BA-7CE8-40FE-9D80-4B694BE35CC3}">
  <dimension ref="A1:S18"/>
  <sheetViews>
    <sheetView workbookViewId="0">
      <selection activeCell="S13" sqref="S13"/>
    </sheetView>
  </sheetViews>
  <sheetFormatPr defaultColWidth="15.5546875"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</row>
    <row r="2" spans="1:19" x14ac:dyDescent="0.3">
      <c r="A2" s="4" t="s">
        <v>11</v>
      </c>
      <c r="B2" s="4" t="s">
        <v>12</v>
      </c>
      <c r="C2" s="4" t="s">
        <v>13</v>
      </c>
      <c r="D2" s="2">
        <v>25</v>
      </c>
      <c r="E2" s="4" t="s">
        <v>14</v>
      </c>
      <c r="F2" s="4" t="s">
        <v>15</v>
      </c>
      <c r="G2" s="5">
        <v>45306</v>
      </c>
      <c r="H2" s="6" t="s">
        <v>16</v>
      </c>
      <c r="I2" s="2">
        <v>45000</v>
      </c>
      <c r="J2" s="4" t="s">
        <v>17</v>
      </c>
      <c r="K2" s="4" t="s">
        <v>18</v>
      </c>
    </row>
    <row r="3" spans="1:19" x14ac:dyDescent="0.3">
      <c r="A3" s="4" t="s">
        <v>19</v>
      </c>
      <c r="B3" s="4" t="s">
        <v>20</v>
      </c>
      <c r="C3" s="4" t="s">
        <v>21</v>
      </c>
      <c r="D3" s="2">
        <v>24</v>
      </c>
      <c r="E3" s="4" t="s">
        <v>22</v>
      </c>
      <c r="F3" s="4" t="s">
        <v>23</v>
      </c>
      <c r="G3" s="5">
        <v>45342</v>
      </c>
      <c r="H3" s="6" t="s">
        <v>24</v>
      </c>
      <c r="I3" s="2">
        <v>52000</v>
      </c>
      <c r="J3" s="4" t="s">
        <v>25</v>
      </c>
      <c r="K3" s="4" t="s">
        <v>26</v>
      </c>
    </row>
    <row r="4" spans="1:19" x14ac:dyDescent="0.3">
      <c r="A4" s="4" t="s">
        <v>27</v>
      </c>
      <c r="B4" s="4" t="s">
        <v>28</v>
      </c>
      <c r="C4" s="4" t="s">
        <v>29</v>
      </c>
      <c r="D4" s="2">
        <v>29</v>
      </c>
      <c r="E4" s="4" t="s">
        <v>14</v>
      </c>
      <c r="F4" s="4" t="s">
        <v>15</v>
      </c>
      <c r="G4" s="5">
        <v>45361</v>
      </c>
      <c r="H4" s="4" t="s">
        <v>30</v>
      </c>
      <c r="I4" s="2">
        <v>48000</v>
      </c>
      <c r="J4" s="4" t="s">
        <v>31</v>
      </c>
      <c r="K4" s="4" t="s">
        <v>26</v>
      </c>
      <c r="Q4" s="1" t="s">
        <v>0</v>
      </c>
      <c r="R4" s="1" t="s">
        <v>99</v>
      </c>
      <c r="S4" t="s">
        <v>107</v>
      </c>
    </row>
    <row r="5" spans="1:19" x14ac:dyDescent="0.3">
      <c r="A5" s="4" t="s">
        <v>27</v>
      </c>
      <c r="B5" s="4" t="s">
        <v>28</v>
      </c>
      <c r="C5" s="4" t="s">
        <v>29</v>
      </c>
      <c r="D5" s="2">
        <v>29</v>
      </c>
      <c r="E5" s="4" t="s">
        <v>14</v>
      </c>
      <c r="F5" s="4" t="s">
        <v>15</v>
      </c>
      <c r="G5" s="5">
        <v>45361</v>
      </c>
      <c r="H5" s="4" t="s">
        <v>30</v>
      </c>
      <c r="I5" s="2">
        <v>48000</v>
      </c>
      <c r="J5" s="4" t="s">
        <v>31</v>
      </c>
      <c r="K5" s="4" t="s">
        <v>26</v>
      </c>
      <c r="Q5" s="1" t="s">
        <v>1</v>
      </c>
      <c r="R5" t="s">
        <v>100</v>
      </c>
      <c r="S5" t="s">
        <v>108</v>
      </c>
    </row>
    <row r="6" spans="1:19" x14ac:dyDescent="0.3">
      <c r="A6" s="4" t="s">
        <v>32</v>
      </c>
      <c r="B6" s="4" t="s">
        <v>33</v>
      </c>
      <c r="C6" s="4" t="s">
        <v>34</v>
      </c>
      <c r="D6" s="2">
        <v>27</v>
      </c>
      <c r="E6" s="4" t="s">
        <v>35</v>
      </c>
      <c r="F6" s="4" t="s">
        <v>36</v>
      </c>
      <c r="G6" s="4" t="s">
        <v>37</v>
      </c>
      <c r="H6" s="6" t="s">
        <v>38</v>
      </c>
      <c r="I6" s="2">
        <v>55000</v>
      </c>
      <c r="J6" s="4" t="s">
        <v>17</v>
      </c>
      <c r="K6" s="4" t="s">
        <v>18</v>
      </c>
      <c r="Q6" s="1" t="s">
        <v>2</v>
      </c>
      <c r="R6" t="s">
        <v>101</v>
      </c>
      <c r="S6" t="s">
        <v>109</v>
      </c>
    </row>
    <row r="7" spans="1:19" x14ac:dyDescent="0.3">
      <c r="A7" s="4" t="s">
        <v>39</v>
      </c>
      <c r="B7" s="4" t="s">
        <v>40</v>
      </c>
      <c r="C7" s="4" t="s">
        <v>13</v>
      </c>
      <c r="D7" s="2">
        <v>150</v>
      </c>
      <c r="E7" s="4" t="s">
        <v>41</v>
      </c>
      <c r="F7" s="4" t="s">
        <v>23</v>
      </c>
      <c r="G7" s="5">
        <v>45417</v>
      </c>
      <c r="H7" s="6" t="s">
        <v>42</v>
      </c>
      <c r="I7" s="2">
        <v>42000</v>
      </c>
      <c r="J7" s="4" t="s">
        <v>43</v>
      </c>
      <c r="K7" s="4" t="s">
        <v>44</v>
      </c>
      <c r="Q7" s="3" t="s">
        <v>3</v>
      </c>
      <c r="R7" t="s">
        <v>102</v>
      </c>
      <c r="S7" t="s">
        <v>111</v>
      </c>
    </row>
    <row r="8" spans="1:19" ht="28.8" x14ac:dyDescent="0.3">
      <c r="A8" s="4" t="s">
        <v>45</v>
      </c>
      <c r="B8" s="4" t="s">
        <v>46</v>
      </c>
      <c r="C8" s="4" t="s">
        <v>21</v>
      </c>
      <c r="D8" s="2">
        <v>26</v>
      </c>
      <c r="E8" s="4" t="s">
        <v>47</v>
      </c>
      <c r="F8" s="4" t="s">
        <v>15</v>
      </c>
      <c r="G8" s="5">
        <v>45455</v>
      </c>
      <c r="H8" s="6" t="s">
        <v>48</v>
      </c>
      <c r="I8" s="2">
        <v>50000</v>
      </c>
      <c r="J8" s="4" t="s">
        <v>17</v>
      </c>
      <c r="K8" s="4" t="s">
        <v>26</v>
      </c>
      <c r="Q8" s="1" t="s">
        <v>4</v>
      </c>
      <c r="R8" t="s">
        <v>103</v>
      </c>
      <c r="S8" t="s">
        <v>112</v>
      </c>
    </row>
    <row r="9" spans="1:19" ht="28.8" x14ac:dyDescent="0.3">
      <c r="A9" s="4" t="s">
        <v>49</v>
      </c>
      <c r="B9" s="4" t="s">
        <v>50</v>
      </c>
      <c r="C9" s="4" t="s">
        <v>13</v>
      </c>
      <c r="D9" s="2">
        <v>28</v>
      </c>
      <c r="E9" s="4" t="s">
        <v>47</v>
      </c>
      <c r="F9" s="4" t="s">
        <v>23</v>
      </c>
      <c r="G9" s="5">
        <v>45461</v>
      </c>
      <c r="H9" s="6" t="s">
        <v>51</v>
      </c>
      <c r="I9" s="2"/>
      <c r="J9" s="4" t="s">
        <v>17</v>
      </c>
      <c r="K9" s="4" t="s">
        <v>18</v>
      </c>
      <c r="Q9" s="1" t="s">
        <v>5</v>
      </c>
      <c r="R9" t="s">
        <v>103</v>
      </c>
      <c r="S9" t="s">
        <v>113</v>
      </c>
    </row>
    <row r="10" spans="1:19" x14ac:dyDescent="0.3">
      <c r="A10" s="4" t="s">
        <v>52</v>
      </c>
      <c r="B10" s="4" t="s">
        <v>53</v>
      </c>
      <c r="C10" s="4" t="s">
        <v>21</v>
      </c>
      <c r="D10" s="2">
        <v>23</v>
      </c>
      <c r="E10" s="4" t="s">
        <v>35</v>
      </c>
      <c r="F10" s="4" t="s">
        <v>54</v>
      </c>
      <c r="G10" s="5">
        <v>45468</v>
      </c>
      <c r="H10" s="6" t="s">
        <v>55</v>
      </c>
      <c r="I10" s="2">
        <v>47000</v>
      </c>
      <c r="J10" s="4" t="s">
        <v>43</v>
      </c>
      <c r="K10" s="4" t="s">
        <v>56</v>
      </c>
      <c r="Q10" s="1" t="s">
        <v>6</v>
      </c>
      <c r="R10" t="s">
        <v>104</v>
      </c>
      <c r="S10" t="s">
        <v>114</v>
      </c>
    </row>
    <row r="11" spans="1:19" x14ac:dyDescent="0.3">
      <c r="A11" s="4" t="s">
        <v>52</v>
      </c>
      <c r="B11" s="4" t="s">
        <v>53</v>
      </c>
      <c r="C11" s="4" t="s">
        <v>21</v>
      </c>
      <c r="D11" s="2">
        <v>23</v>
      </c>
      <c r="E11" s="4" t="s">
        <v>35</v>
      </c>
      <c r="F11" s="4" t="s">
        <v>54</v>
      </c>
      <c r="G11" s="5">
        <v>45468</v>
      </c>
      <c r="H11" s="6" t="s">
        <v>55</v>
      </c>
      <c r="I11" s="2">
        <v>47000</v>
      </c>
      <c r="J11" s="4" t="s">
        <v>43</v>
      </c>
      <c r="K11" s="4" t="s">
        <v>56</v>
      </c>
      <c r="Q11" s="1" t="s">
        <v>7</v>
      </c>
      <c r="R11" t="s">
        <v>105</v>
      </c>
      <c r="S11" t="s">
        <v>116</v>
      </c>
    </row>
    <row r="12" spans="1:19" x14ac:dyDescent="0.3">
      <c r="A12" s="4" t="s">
        <v>57</v>
      </c>
      <c r="B12" s="4" t="s">
        <v>58</v>
      </c>
      <c r="C12" s="4" t="s">
        <v>13</v>
      </c>
      <c r="D12" s="2">
        <v>26</v>
      </c>
      <c r="E12" s="4" t="s">
        <v>14</v>
      </c>
      <c r="F12" s="4" t="s">
        <v>59</v>
      </c>
      <c r="G12" s="5">
        <v>45475</v>
      </c>
      <c r="H12" s="6" t="s">
        <v>60</v>
      </c>
      <c r="I12" s="2">
        <v>46000</v>
      </c>
      <c r="J12" s="4" t="s">
        <v>17</v>
      </c>
      <c r="K12" s="4" t="s">
        <v>18</v>
      </c>
      <c r="Q12" s="3" t="s">
        <v>8</v>
      </c>
      <c r="R12" t="s">
        <v>102</v>
      </c>
      <c r="S12" t="s">
        <v>119</v>
      </c>
    </row>
    <row r="13" spans="1:19" ht="28.8" x14ac:dyDescent="0.3">
      <c r="A13" s="4" t="s">
        <v>61</v>
      </c>
      <c r="B13" s="4" t="s">
        <v>62</v>
      </c>
      <c r="C13" s="4" t="s">
        <v>21</v>
      </c>
      <c r="D13" s="2"/>
      <c r="E13" s="4" t="s">
        <v>41</v>
      </c>
      <c r="F13" s="4" t="s">
        <v>23</v>
      </c>
      <c r="G13" s="5">
        <v>45483</v>
      </c>
      <c r="H13" s="6" t="s">
        <v>63</v>
      </c>
      <c r="I13" s="2">
        <v>44000</v>
      </c>
      <c r="J13" s="4" t="s">
        <v>17</v>
      </c>
      <c r="K13" s="4" t="s">
        <v>44</v>
      </c>
      <c r="Q13" s="1" t="s">
        <v>9</v>
      </c>
      <c r="R13" t="s">
        <v>105</v>
      </c>
    </row>
    <row r="14" spans="1:19" x14ac:dyDescent="0.3">
      <c r="A14" s="4" t="s">
        <v>64</v>
      </c>
      <c r="B14" s="4" t="s">
        <v>12</v>
      </c>
      <c r="C14" s="4" t="s">
        <v>13</v>
      </c>
      <c r="D14" s="2">
        <v>25</v>
      </c>
      <c r="E14" s="4" t="s">
        <v>14</v>
      </c>
      <c r="F14" s="4" t="s">
        <v>15</v>
      </c>
      <c r="G14" s="5">
        <v>45306</v>
      </c>
      <c r="H14" s="6" t="s">
        <v>16</v>
      </c>
      <c r="I14" s="2">
        <v>45000</v>
      </c>
      <c r="J14" s="4" t="s">
        <v>17</v>
      </c>
      <c r="K14" s="4" t="s">
        <v>18</v>
      </c>
      <c r="Q14" s="1" t="s">
        <v>10</v>
      </c>
      <c r="R14" t="s">
        <v>106</v>
      </c>
    </row>
    <row r="15" spans="1:19" ht="28.8" x14ac:dyDescent="0.3">
      <c r="A15" s="4" t="s">
        <v>65</v>
      </c>
      <c r="B15" s="4" t="s">
        <v>66</v>
      </c>
      <c r="C15" s="4" t="s">
        <v>13</v>
      </c>
      <c r="D15" s="2">
        <v>31</v>
      </c>
      <c r="E15" s="4" t="s">
        <v>67</v>
      </c>
      <c r="F15" s="4" t="s">
        <v>23</v>
      </c>
      <c r="G15" s="5">
        <v>45495</v>
      </c>
      <c r="H15" s="6" t="s">
        <v>68</v>
      </c>
      <c r="I15" s="2">
        <v>58000</v>
      </c>
      <c r="J15" s="4" t="s">
        <v>69</v>
      </c>
      <c r="K15" s="4" t="s">
        <v>18</v>
      </c>
    </row>
    <row r="16" spans="1:19" x14ac:dyDescent="0.3">
      <c r="A16" s="4" t="s">
        <v>70</v>
      </c>
      <c r="B16" s="4" t="s">
        <v>71</v>
      </c>
      <c r="C16" s="4" t="s">
        <v>21</v>
      </c>
      <c r="D16" s="2">
        <v>27</v>
      </c>
      <c r="E16" s="4" t="s">
        <v>35</v>
      </c>
      <c r="F16" s="4" t="s">
        <v>36</v>
      </c>
      <c r="G16" s="5">
        <v>45505</v>
      </c>
      <c r="H16" s="4" t="s">
        <v>72</v>
      </c>
      <c r="I16" s="2">
        <v>51000</v>
      </c>
      <c r="J16" s="4" t="s">
        <v>17</v>
      </c>
      <c r="K16" s="4" t="s">
        <v>26</v>
      </c>
    </row>
    <row r="17" spans="1:11" ht="28.8" x14ac:dyDescent="0.3">
      <c r="A17" s="4" t="s">
        <v>73</v>
      </c>
      <c r="B17" s="4" t="s">
        <v>74</v>
      </c>
      <c r="C17" s="4" t="s">
        <v>13</v>
      </c>
      <c r="D17" s="2">
        <v>22</v>
      </c>
      <c r="E17" s="4" t="s">
        <v>47</v>
      </c>
      <c r="F17" s="4" t="s">
        <v>15</v>
      </c>
      <c r="G17" s="5">
        <v>45509</v>
      </c>
      <c r="H17" s="6" t="s">
        <v>75</v>
      </c>
      <c r="I17" s="2">
        <v>-5000</v>
      </c>
      <c r="J17" s="4" t="s">
        <v>17</v>
      </c>
      <c r="K17" s="4" t="s">
        <v>26</v>
      </c>
    </row>
    <row r="18" spans="1:11" ht="28.8" x14ac:dyDescent="0.3">
      <c r="A18" s="4" t="s">
        <v>76</v>
      </c>
      <c r="B18" s="4" t="s">
        <v>77</v>
      </c>
      <c r="C18" s="4" t="s">
        <v>21</v>
      </c>
      <c r="D18" s="2">
        <v>26</v>
      </c>
      <c r="E18" s="4" t="s">
        <v>67</v>
      </c>
      <c r="F18" s="4" t="s">
        <v>23</v>
      </c>
      <c r="G18" s="5">
        <v>45516</v>
      </c>
      <c r="H18" s="6" t="s">
        <v>78</v>
      </c>
      <c r="I18" s="2">
        <v>56000</v>
      </c>
      <c r="J18" s="4" t="s">
        <v>17</v>
      </c>
      <c r="K18" s="4" t="s">
        <v>79</v>
      </c>
    </row>
  </sheetData>
  <hyperlinks>
    <hyperlink ref="H2" r:id="rId1" display="mailto:john@gmail.com" xr:uid="{2A700BC3-3C9F-4CFC-A546-931C6017D391}"/>
    <hyperlink ref="H3" r:id="rId2" display="mailto:priya@gmail.com" xr:uid="{D47DAE06-1D24-4E54-9550-9430643B391D}"/>
    <hyperlink ref="H6" r:id="rId3" display="mailto:anjali@gmail.com" xr:uid="{A8B376F6-B396-49ED-BAF0-4B8E7AA0D787}"/>
    <hyperlink ref="H7" r:id="rId4" display="mailto:arjun@gmail.com" xr:uid="{14F2E551-3941-4B73-894C-F0C25D94084A}"/>
    <hyperlink ref="H8" r:id="rId5" display="mailto:sneha@gmail.com" xr:uid="{B4D4F31F-8AAF-4FC8-8F9C-96BD9326543B}"/>
    <hyperlink ref="H9" r:id="rId6" display="mailto:karthik@gmail.com" xr:uid="{6B579204-A630-49CE-9244-EAD309D90446}"/>
    <hyperlink ref="H12" r:id="rId7" display="mailto:ravi@gmail.com" xr:uid="{AC7354F1-8AF4-44E0-AB35-21B011A8C99E}"/>
    <hyperlink ref="H13" r:id="rId8" display="mailto:meena@gmail.com" xr:uid="{9D99770E-B9FD-472E-A95A-19F7DA414553}"/>
    <hyperlink ref="H14" r:id="rId9" display="mailto:john@gmail.com" xr:uid="{93049637-0A66-4AFB-B11F-76146DB9A495}"/>
    <hyperlink ref="H15" r:id="rId10" display="mailto:vikram@gmail.com" xr:uid="{FB6171C8-553F-4C72-B54E-D87D00B19088}"/>
    <hyperlink ref="H17" r:id="rId11" display="mailto:suresh@gmail.com" xr:uid="{350EA98A-A05D-4EC8-8312-8A11B362B512}"/>
    <hyperlink ref="H18" r:id="rId12" display="mailto:lakshmi@gmail.com" xr:uid="{DCB555BD-B2BB-4F9D-8087-0118EC156739}"/>
    <hyperlink ref="H10" r:id="rId13" display="mailto:divya@gmail.com" xr:uid="{481DBCF9-91F0-45DD-8C88-37DAF8E7CE2F}"/>
    <hyperlink ref="H11" r:id="rId14" display="mailto:divya@gmail.com" xr:uid="{00A8F28B-892D-43F3-ACFA-5C14EB153BF5}"/>
  </hyperlinks>
  <pageMargins left="0.7" right="0.7" top="0.75" bottom="0.75" header="0.3" footer="0.3"/>
  <pageSetup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AB27-820F-4A21-A089-AC7C9764D07E}">
  <dimension ref="B4:Q16"/>
  <sheetViews>
    <sheetView workbookViewId="0">
      <selection activeCell="J17" sqref="J17"/>
    </sheetView>
  </sheetViews>
  <sheetFormatPr defaultRowHeight="14.4" x14ac:dyDescent="0.3"/>
  <sheetData>
    <row r="4" spans="2:17" x14ac:dyDescent="0.3">
      <c r="B4" t="s">
        <v>80</v>
      </c>
      <c r="C4" t="s">
        <v>81</v>
      </c>
      <c r="D4" t="s">
        <v>82</v>
      </c>
      <c r="G4" t="s">
        <v>83</v>
      </c>
      <c r="H4" t="s">
        <v>84</v>
      </c>
      <c r="M4" t="s">
        <v>89</v>
      </c>
      <c r="N4" t="s">
        <v>90</v>
      </c>
      <c r="P4" t="s">
        <v>93</v>
      </c>
      <c r="Q4" t="s">
        <v>94</v>
      </c>
    </row>
    <row r="5" spans="2:17" x14ac:dyDescent="0.3">
      <c r="B5">
        <v>101</v>
      </c>
      <c r="C5" t="s">
        <v>85</v>
      </c>
      <c r="D5" t="s">
        <v>86</v>
      </c>
      <c r="G5">
        <v>101</v>
      </c>
      <c r="H5">
        <v>450000</v>
      </c>
      <c r="M5" t="s">
        <v>91</v>
      </c>
      <c r="N5">
        <v>60000</v>
      </c>
      <c r="P5" t="s">
        <v>95</v>
      </c>
      <c r="Q5">
        <v>80000</v>
      </c>
    </row>
    <row r="6" spans="2:17" x14ac:dyDescent="0.3">
      <c r="B6">
        <v>102</v>
      </c>
      <c r="C6" t="s">
        <v>87</v>
      </c>
      <c r="D6" t="s">
        <v>88</v>
      </c>
      <c r="G6">
        <v>102</v>
      </c>
      <c r="H6">
        <v>500000</v>
      </c>
      <c r="M6" t="s">
        <v>92</v>
      </c>
      <c r="N6">
        <v>40000</v>
      </c>
      <c r="P6" t="s">
        <v>96</v>
      </c>
      <c r="Q6">
        <v>70000</v>
      </c>
    </row>
    <row r="12" spans="2:17" x14ac:dyDescent="0.3">
      <c r="C12" t="s">
        <v>97</v>
      </c>
      <c r="L12" t="s">
        <v>98</v>
      </c>
      <c r="N12" t="s">
        <v>89</v>
      </c>
      <c r="O12" t="s">
        <v>90</v>
      </c>
    </row>
    <row r="13" spans="2:17" x14ac:dyDescent="0.3">
      <c r="D13" t="s">
        <v>83</v>
      </c>
      <c r="E13" t="s">
        <v>81</v>
      </c>
      <c r="F13" t="s">
        <v>82</v>
      </c>
      <c r="G13" t="s">
        <v>84</v>
      </c>
      <c r="N13" t="s">
        <v>91</v>
      </c>
      <c r="O13">
        <v>60000</v>
      </c>
    </row>
    <row r="14" spans="2:17" x14ac:dyDescent="0.3">
      <c r="D14">
        <v>101</v>
      </c>
      <c r="E14" t="s">
        <v>85</v>
      </c>
      <c r="F14" t="s">
        <v>86</v>
      </c>
      <c r="G14">
        <v>450000</v>
      </c>
      <c r="N14" t="s">
        <v>92</v>
      </c>
      <c r="O14">
        <v>40000</v>
      </c>
    </row>
    <row r="15" spans="2:17" x14ac:dyDescent="0.3">
      <c r="D15">
        <v>102</v>
      </c>
      <c r="E15" t="s">
        <v>87</v>
      </c>
      <c r="F15" t="s">
        <v>88</v>
      </c>
      <c r="G15">
        <v>500000</v>
      </c>
      <c r="N15" t="s">
        <v>95</v>
      </c>
      <c r="O15">
        <v>80000</v>
      </c>
    </row>
    <row r="16" spans="2:17" x14ac:dyDescent="0.3">
      <c r="N16" t="s">
        <v>96</v>
      </c>
      <c r="O16">
        <v>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88405-F082-4BE1-9E8D-C3F8F0C949EB}">
  <dimension ref="A1:L16"/>
  <sheetViews>
    <sheetView tabSelected="1" workbookViewId="0">
      <selection activeCell="B19" sqref="B19"/>
    </sheetView>
  </sheetViews>
  <sheetFormatPr defaultColWidth="16.77734375" defaultRowHeight="14.4" x14ac:dyDescent="0.3"/>
  <cols>
    <col min="1" max="3" width="16.77734375" style="13"/>
    <col min="4" max="4" width="16.77734375" style="16"/>
    <col min="5" max="5" width="16.77734375" style="19"/>
    <col min="6" max="6" width="16.77734375" style="13"/>
    <col min="7" max="7" width="16.77734375" style="8"/>
    <col min="8" max="8" width="16.77734375" style="13"/>
    <col min="9" max="9" width="16.77734375" style="23"/>
    <col min="10" max="11" width="16.77734375" style="13"/>
    <col min="12" max="12" width="16.77734375" style="9"/>
  </cols>
  <sheetData>
    <row r="1" spans="1:12" ht="28.8" x14ac:dyDescent="0.3">
      <c r="A1" s="11" t="s">
        <v>0</v>
      </c>
      <c r="B1" s="11" t="s">
        <v>1</v>
      </c>
      <c r="C1" s="11" t="s">
        <v>2</v>
      </c>
      <c r="D1" s="14" t="s">
        <v>3</v>
      </c>
      <c r="E1" s="17" t="s">
        <v>4</v>
      </c>
      <c r="F1" s="11" t="s">
        <v>5</v>
      </c>
      <c r="G1" s="10" t="s">
        <v>6</v>
      </c>
      <c r="H1" s="11" t="s">
        <v>7</v>
      </c>
      <c r="I1" s="21" t="s">
        <v>8</v>
      </c>
      <c r="J1" s="11" t="s">
        <v>9</v>
      </c>
      <c r="K1" s="11" t="s">
        <v>10</v>
      </c>
      <c r="L1" s="24" t="s">
        <v>120</v>
      </c>
    </row>
    <row r="2" spans="1:12" x14ac:dyDescent="0.3">
      <c r="A2" s="12" t="s">
        <v>11</v>
      </c>
      <c r="B2" s="12" t="str">
        <f>UPPER(raw!B2)</f>
        <v>JOHN MICHAEL</v>
      </c>
      <c r="C2" s="12" t="s">
        <v>13</v>
      </c>
      <c r="D2" s="15">
        <v>25</v>
      </c>
      <c r="E2" s="18" t="str">
        <f>PROPER(raw!E2)</f>
        <v>Data Analytics</v>
      </c>
      <c r="F2" s="12" t="str">
        <f>PROPER(raw!F2)</f>
        <v>Chennai</v>
      </c>
      <c r="G2" s="7">
        <v>45306</v>
      </c>
      <c r="H2" s="20" t="s">
        <v>16</v>
      </c>
      <c r="I2" s="22">
        <v>45000</v>
      </c>
      <c r="J2" s="12" t="str">
        <f>PROPER(raw!J2)</f>
        <v>Full Time</v>
      </c>
      <c r="K2" s="12" t="str">
        <f>PROPER(raw!K2)</f>
        <v>Excellent</v>
      </c>
      <c r="L2" s="9" cm="1">
        <f t="array" ref="L2">_xlfn.IFS(K2="Excellent",3,K2="Good",2,K2="Average",1)</f>
        <v>3</v>
      </c>
    </row>
    <row r="3" spans="1:12" x14ac:dyDescent="0.3">
      <c r="A3" s="12" t="s">
        <v>19</v>
      </c>
      <c r="B3" s="12" t="str">
        <f>UPPER(raw!B3)</f>
        <v>PRIYA SHARMA</v>
      </c>
      <c r="C3" s="12" t="s">
        <v>21</v>
      </c>
      <c r="D3" s="15">
        <v>24</v>
      </c>
      <c r="E3" s="18" t="str">
        <f>PROPER(raw!E3)</f>
        <v>Data Engineering</v>
      </c>
      <c r="F3" s="12" t="str">
        <f>PROPER(raw!F3)</f>
        <v>Hyderabad</v>
      </c>
      <c r="G3" s="7">
        <v>45342</v>
      </c>
      <c r="H3" s="20" t="s">
        <v>24</v>
      </c>
      <c r="I3" s="22">
        <v>52000</v>
      </c>
      <c r="J3" s="12" t="s">
        <v>17</v>
      </c>
      <c r="K3" s="12" t="str">
        <f>PROPER(raw!K3)</f>
        <v>Good</v>
      </c>
      <c r="L3" s="9" cm="1">
        <f t="array" ref="L3">_xlfn.IFS(K3="Excellent",3,K3="Good",2,K3="Average",1)</f>
        <v>2</v>
      </c>
    </row>
    <row r="4" spans="1:12" x14ac:dyDescent="0.3">
      <c r="A4" s="12" t="s">
        <v>27</v>
      </c>
      <c r="B4" s="12" t="str">
        <f>UPPER(raw!B4)</f>
        <v>RAHUL KUMAR</v>
      </c>
      <c r="C4" s="12" t="s">
        <v>13</v>
      </c>
      <c r="D4" s="15">
        <v>29</v>
      </c>
      <c r="E4" s="18" t="str">
        <f>PROPER(raw!E4)</f>
        <v>Data Analytics</v>
      </c>
      <c r="F4" s="12" t="str">
        <f>PROPER(raw!F4)</f>
        <v>Chennai</v>
      </c>
      <c r="G4" s="7">
        <v>45361</v>
      </c>
      <c r="H4" s="20" t="s">
        <v>115</v>
      </c>
      <c r="I4" s="22">
        <v>48000</v>
      </c>
      <c r="J4" s="12" t="s">
        <v>17</v>
      </c>
      <c r="K4" s="12" t="str">
        <f>PROPER(raw!K4)</f>
        <v>Good</v>
      </c>
      <c r="L4" s="9" cm="1">
        <f t="array" ref="L4">_xlfn.IFS(K4="Excellent",3,K4="Good",2,K4="Average",1)</f>
        <v>2</v>
      </c>
    </row>
    <row r="5" spans="1:12" x14ac:dyDescent="0.3">
      <c r="A5" s="12" t="s">
        <v>32</v>
      </c>
      <c r="B5" s="12" t="str">
        <f>UPPER(raw!B5)</f>
        <v>RAHUL KUMAR</v>
      </c>
      <c r="C5" s="12" t="s">
        <v>21</v>
      </c>
      <c r="D5" s="15">
        <v>27</v>
      </c>
      <c r="E5" s="18" t="str">
        <f>PROPER(raw!E5)</f>
        <v>Data Analytics</v>
      </c>
      <c r="F5" s="12" t="str">
        <f>PROPER(raw!F5)</f>
        <v>Chennai</v>
      </c>
      <c r="G5" s="7">
        <v>45412</v>
      </c>
      <c r="H5" s="20" t="s">
        <v>38</v>
      </c>
      <c r="I5" s="22">
        <v>55000</v>
      </c>
      <c r="J5" s="12" t="s">
        <v>17</v>
      </c>
      <c r="K5" s="12" t="str">
        <f>PROPER(raw!K5)</f>
        <v>Good</v>
      </c>
      <c r="L5" s="9" cm="1">
        <f t="array" ref="L5">_xlfn.IFS(K5="Excellent",3,K5="Good",2,K5="Average",1)</f>
        <v>2</v>
      </c>
    </row>
    <row r="6" spans="1:12" x14ac:dyDescent="0.3">
      <c r="A6" s="12" t="s">
        <v>39</v>
      </c>
      <c r="B6" s="12" t="str">
        <f>UPPER(raw!B6)</f>
        <v>ANJALI DEVI</v>
      </c>
      <c r="C6" s="12" t="s">
        <v>13</v>
      </c>
      <c r="D6" s="15">
        <v>50</v>
      </c>
      <c r="E6" s="18" t="str">
        <f>PROPER(raw!E6)</f>
        <v>Finance</v>
      </c>
      <c r="F6" s="12" t="str">
        <f>PROPER(raw!F6)</f>
        <v>Bangalore</v>
      </c>
      <c r="G6" s="7">
        <v>45417</v>
      </c>
      <c r="H6" s="20" t="s">
        <v>42</v>
      </c>
      <c r="I6" s="22">
        <v>42000</v>
      </c>
      <c r="J6" s="12" t="str">
        <f>PROPER(raw!J7)</f>
        <v>Part Time</v>
      </c>
      <c r="K6" s="12" t="str">
        <f>PROPER(raw!K6)</f>
        <v>Excellent</v>
      </c>
      <c r="L6" s="9" cm="1">
        <f t="array" ref="L6">_xlfn.IFS(K6="Excellent",3,K6="Good",2,K6="Average",1)</f>
        <v>3</v>
      </c>
    </row>
    <row r="7" spans="1:12" x14ac:dyDescent="0.3">
      <c r="A7" s="12" t="s">
        <v>45</v>
      </c>
      <c r="B7" s="12" t="str">
        <f>UPPER(raw!B7)</f>
        <v>ARJUN KUMAR</v>
      </c>
      <c r="C7" s="12" t="s">
        <v>21</v>
      </c>
      <c r="D7" s="15">
        <v>26</v>
      </c>
      <c r="E7" s="18" t="str">
        <f>UPPER(raw!E7)</f>
        <v>HR</v>
      </c>
      <c r="F7" s="12" t="str">
        <f>PROPER(raw!F7)</f>
        <v>Hyderabad</v>
      </c>
      <c r="G7" s="7">
        <v>45455</v>
      </c>
      <c r="H7" s="20" t="s">
        <v>48</v>
      </c>
      <c r="I7" s="22">
        <v>50000</v>
      </c>
      <c r="J7" s="12" t="str">
        <f>PROPER(raw!J8)</f>
        <v>Full Time</v>
      </c>
      <c r="K7" s="12" t="str">
        <f>PROPER(raw!K7)</f>
        <v>Average</v>
      </c>
      <c r="L7" s="9" cm="1">
        <f t="array" ref="L7">_xlfn.IFS(K7="Excellent",3,K7="Good",2,K7="Average",1)</f>
        <v>1</v>
      </c>
    </row>
    <row r="8" spans="1:12" x14ac:dyDescent="0.3">
      <c r="A8" s="12" t="s">
        <v>49</v>
      </c>
      <c r="B8" s="12" t="str">
        <f>UPPER(raw!B8)</f>
        <v>SNEHA RAO</v>
      </c>
      <c r="C8" s="12" t="s">
        <v>13</v>
      </c>
      <c r="D8" s="15">
        <v>28</v>
      </c>
      <c r="E8" s="18" t="str">
        <f>UPPER(raw!E8)</f>
        <v>IT</v>
      </c>
      <c r="F8" s="12" t="str">
        <f>PROPER(raw!F8)</f>
        <v>Chennai</v>
      </c>
      <c r="G8" s="7">
        <v>45461</v>
      </c>
      <c r="H8" s="20" t="s">
        <v>51</v>
      </c>
      <c r="I8" s="22" t="s">
        <v>117</v>
      </c>
      <c r="J8" s="12" t="str">
        <f>PROPER(raw!J9)</f>
        <v>Full Time</v>
      </c>
      <c r="K8" s="12" t="str">
        <f>PROPER(raw!K8)</f>
        <v>Good</v>
      </c>
      <c r="L8" s="9" cm="1">
        <f t="array" ref="L8">_xlfn.IFS(K8="Excellent",3,K8="Good",2,K8="Average",1)</f>
        <v>2</v>
      </c>
    </row>
    <row r="9" spans="1:12" x14ac:dyDescent="0.3">
      <c r="A9" s="12" t="s">
        <v>52</v>
      </c>
      <c r="B9" s="12" t="str">
        <f>UPPER(raw!B9)</f>
        <v>KARTHIK RAJ</v>
      </c>
      <c r="C9" s="12" t="s">
        <v>21</v>
      </c>
      <c r="D9" s="15">
        <v>23</v>
      </c>
      <c r="E9" s="18" t="str">
        <f>UPPER(raw!E9)</f>
        <v>IT</v>
      </c>
      <c r="F9" s="12" t="str">
        <f>PROPER(raw!F9)</f>
        <v>Hyderabad</v>
      </c>
      <c r="G9" s="7">
        <v>45468</v>
      </c>
      <c r="H9" s="20" t="s">
        <v>55</v>
      </c>
      <c r="I9" s="22">
        <v>47000</v>
      </c>
      <c r="J9" s="12" t="str">
        <f>PROPER(raw!J10)</f>
        <v>Part Time</v>
      </c>
      <c r="K9" s="12" t="str">
        <f>PROPER(raw!K9)</f>
        <v>Excellent</v>
      </c>
      <c r="L9" s="9" cm="1">
        <f t="array" ref="L9">_xlfn.IFS(K9="Excellent",3,K9="Good",2,K9="Average",1)</f>
        <v>3</v>
      </c>
    </row>
    <row r="10" spans="1:12" x14ac:dyDescent="0.3">
      <c r="A10" s="12" t="s">
        <v>57</v>
      </c>
      <c r="B10" s="12" t="str">
        <f>UPPER(raw!B10)</f>
        <v>DIVYA SINGH</v>
      </c>
      <c r="C10" s="12" t="s">
        <v>13</v>
      </c>
      <c r="D10" s="15">
        <v>26</v>
      </c>
      <c r="E10" s="18" t="str">
        <f>PROPER(raw!E10)</f>
        <v>Finance</v>
      </c>
      <c r="F10" s="12" t="str">
        <f>PROPER(raw!F10)</f>
        <v>Mumbai</v>
      </c>
      <c r="G10" s="7">
        <v>45475</v>
      </c>
      <c r="H10" s="20" t="s">
        <v>60</v>
      </c>
      <c r="I10" s="22">
        <v>46000</v>
      </c>
      <c r="J10" s="12" t="str">
        <f>PROPER(raw!J11)</f>
        <v>Part Time</v>
      </c>
      <c r="K10" s="12" t="str">
        <f>PROPER(raw!K10)</f>
        <v>Good</v>
      </c>
      <c r="L10" s="9" cm="1">
        <f t="array" ref="L10">_xlfn.IFS(K10="Excellent",3,K10="Good",2,K10="Average",1)</f>
        <v>2</v>
      </c>
    </row>
    <row r="11" spans="1:12" x14ac:dyDescent="0.3">
      <c r="A11" s="12" t="s">
        <v>61</v>
      </c>
      <c r="B11" s="12" t="str">
        <f>UPPER(raw!B11)</f>
        <v>DIVYA SINGH</v>
      </c>
      <c r="C11" s="12" t="s">
        <v>21</v>
      </c>
      <c r="D11" s="15" t="s">
        <v>110</v>
      </c>
      <c r="E11" s="18" t="str">
        <f>PROPER(raw!E11)</f>
        <v>Finance</v>
      </c>
      <c r="F11" s="12" t="str">
        <f>PROPER(raw!F11)</f>
        <v>Mumbai</v>
      </c>
      <c r="G11" s="7">
        <v>45483</v>
      </c>
      <c r="H11" s="20" t="s">
        <v>63</v>
      </c>
      <c r="I11" s="22">
        <v>44000</v>
      </c>
      <c r="J11" s="12" t="str">
        <f>PROPER(raw!J12)</f>
        <v>Full Time</v>
      </c>
      <c r="K11" s="12" t="str">
        <f>PROPER(raw!K11)</f>
        <v>Good</v>
      </c>
      <c r="L11" s="9" cm="1">
        <f t="array" ref="L11">_xlfn.IFS(K11="Excellent",3,K11="Good",2,K11="Average",1)</f>
        <v>2</v>
      </c>
    </row>
    <row r="12" spans="1:12" x14ac:dyDescent="0.3">
      <c r="A12" s="12" t="s">
        <v>64</v>
      </c>
      <c r="B12" s="12" t="str">
        <f>UPPER(raw!B12)</f>
        <v>RAVI KUMAR</v>
      </c>
      <c r="C12" s="12" t="s">
        <v>13</v>
      </c>
      <c r="D12" s="15">
        <v>25</v>
      </c>
      <c r="E12" s="18" t="str">
        <f>PROPER(raw!E12)</f>
        <v>Data Analytics</v>
      </c>
      <c r="F12" s="12" t="str">
        <f>PROPER(raw!F12)</f>
        <v>Chennai</v>
      </c>
      <c r="G12" s="7">
        <v>45306</v>
      </c>
      <c r="H12" s="20" t="s">
        <v>16</v>
      </c>
      <c r="I12" s="22">
        <v>45000</v>
      </c>
      <c r="J12" s="12" t="str">
        <f>PROPER(raw!J13)</f>
        <v>Full Time</v>
      </c>
      <c r="K12" s="12" t="str">
        <f>PROPER(raw!K12)</f>
        <v>Excellent</v>
      </c>
      <c r="L12" s="9" cm="1">
        <f t="array" ref="L12">_xlfn.IFS(K12="Excellent",3,K12="Good",2,K12="Average",1)</f>
        <v>3</v>
      </c>
    </row>
    <row r="13" spans="1:12" x14ac:dyDescent="0.3">
      <c r="A13" s="12" t="s">
        <v>65</v>
      </c>
      <c r="B13" s="12" t="str">
        <f>UPPER(raw!B13)</f>
        <v>MEENA JOSEPH</v>
      </c>
      <c r="C13" s="12" t="s">
        <v>13</v>
      </c>
      <c r="D13" s="15">
        <v>31</v>
      </c>
      <c r="E13" s="18" t="str">
        <f>UPPER(raw!E13)</f>
        <v>HR</v>
      </c>
      <c r="F13" s="12" t="str">
        <f>PROPER(raw!F13)</f>
        <v>Hyderabad</v>
      </c>
      <c r="G13" s="7">
        <v>45495</v>
      </c>
      <c r="H13" s="20" t="s">
        <v>68</v>
      </c>
      <c r="I13" s="22">
        <v>58000</v>
      </c>
      <c r="J13" s="12" t="str">
        <f>PROPER(raw!J14)</f>
        <v>Full Time</v>
      </c>
      <c r="K13" s="12" t="str">
        <f>PROPER(raw!K13)</f>
        <v>Average</v>
      </c>
      <c r="L13" s="9" cm="1">
        <f t="array" ref="L13">_xlfn.IFS(K13="Excellent",3,K13="Good",2,K13="Average",1)</f>
        <v>1</v>
      </c>
    </row>
    <row r="14" spans="1:12" x14ac:dyDescent="0.3">
      <c r="A14" s="12" t="s">
        <v>70</v>
      </c>
      <c r="B14" s="12" t="str">
        <f>UPPER(raw!B14)</f>
        <v>JOHN MICHAEL</v>
      </c>
      <c r="C14" s="12" t="s">
        <v>21</v>
      </c>
      <c r="D14" s="15">
        <v>27</v>
      </c>
      <c r="E14" s="18" t="str">
        <f>PROPER(raw!E14)</f>
        <v>Data Analytics</v>
      </c>
      <c r="F14" s="12" t="str">
        <f>PROPER(raw!F14)</f>
        <v>Chennai</v>
      </c>
      <c r="G14" s="7">
        <v>45505</v>
      </c>
      <c r="H14" s="12" t="s">
        <v>115</v>
      </c>
      <c r="I14" s="22">
        <v>51000</v>
      </c>
      <c r="J14" s="12" t="str">
        <f>PROPER(raw!J15)</f>
        <v>Full Time</v>
      </c>
      <c r="K14" s="12" t="str">
        <f>PROPER(raw!K14)</f>
        <v>Excellent</v>
      </c>
      <c r="L14" s="9" cm="1">
        <f t="array" ref="L14">_xlfn.IFS(K14="Excellent",3,K14="Good",2,K14="Average",1)</f>
        <v>3</v>
      </c>
    </row>
    <row r="15" spans="1:12" x14ac:dyDescent="0.3">
      <c r="A15" s="12" t="s">
        <v>73</v>
      </c>
      <c r="B15" s="12" t="str">
        <f>UPPER(raw!B15)</f>
        <v>VIKRAM DAS</v>
      </c>
      <c r="C15" s="12" t="s">
        <v>13</v>
      </c>
      <c r="D15" s="15">
        <v>22</v>
      </c>
      <c r="E15" s="18" t="str">
        <f>PROPER(raw!E15)</f>
        <v>Data Engineering</v>
      </c>
      <c r="F15" s="12" t="str">
        <f>PROPER(raw!F15)</f>
        <v>Hyderabad</v>
      </c>
      <c r="G15" s="7">
        <v>45509</v>
      </c>
      <c r="H15" s="20" t="s">
        <v>75</v>
      </c>
      <c r="I15" s="22" t="s">
        <v>118</v>
      </c>
      <c r="J15" s="12" t="str">
        <f>PROPER(raw!J16)</f>
        <v>Full Time</v>
      </c>
      <c r="K15" s="12" t="str">
        <f>PROPER(raw!K15)</f>
        <v>Excellent</v>
      </c>
      <c r="L15" s="9" cm="1">
        <f t="array" ref="L15">_xlfn.IFS(K15="Excellent",3,K15="Good",2,K15="Average",1)</f>
        <v>3</v>
      </c>
    </row>
    <row r="16" spans="1:12" ht="28.8" x14ac:dyDescent="0.3">
      <c r="A16" s="12" t="s">
        <v>76</v>
      </c>
      <c r="B16" s="12" t="str">
        <f>UPPER(raw!B16)</f>
        <v>POOJA NAIR</v>
      </c>
      <c r="C16" s="12" t="s">
        <v>21</v>
      </c>
      <c r="D16" s="15">
        <v>26</v>
      </c>
      <c r="E16" s="18" t="str">
        <f>PROPER(raw!E16)</f>
        <v>Finance</v>
      </c>
      <c r="F16" s="12" t="str">
        <f>PROPER(raw!F16)</f>
        <v>Bangalore</v>
      </c>
      <c r="G16" s="7">
        <v>45516</v>
      </c>
      <c r="H16" s="20" t="s">
        <v>78</v>
      </c>
      <c r="I16" s="22">
        <v>56000</v>
      </c>
      <c r="J16" s="12" t="str">
        <f>PROPER(raw!J17)</f>
        <v>Full Time</v>
      </c>
      <c r="K16" s="12" t="str">
        <f>PROPER(raw!K16)</f>
        <v>Good</v>
      </c>
      <c r="L16" s="9" cm="1">
        <f t="array" ref="L16">_xlfn.IFS(K16="Excellent",3,K16="Good",2,K16="Average",1)</f>
        <v>2</v>
      </c>
    </row>
  </sheetData>
  <autoFilter ref="A1:L1" xr:uid="{0C688405-F082-4BE1-9E8D-C3F8F0C949EB}"/>
  <conditionalFormatting sqref="I1:I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1048576">
    <cfRule type="cellIs" dxfId="1" priority="1" operator="greaterThan">
      <formula>30</formula>
    </cfRule>
  </conditionalFormatting>
  <hyperlinks>
    <hyperlink ref="H2" r:id="rId1" display="mailto:john@gmail.com" xr:uid="{E95C29C0-EB66-416C-9CBA-45F91F466460}"/>
    <hyperlink ref="H3" r:id="rId2" display="mailto:priya@gmail.com" xr:uid="{73052F62-84A4-49C8-BC7E-4D8A9AEEB62F}"/>
    <hyperlink ref="H5" r:id="rId3" display="mailto:anjali@gmail.com" xr:uid="{69C2F379-EA23-4AE8-A58F-A2002C33AB11}"/>
    <hyperlink ref="H6" r:id="rId4" display="mailto:arjun@gmail.com" xr:uid="{9B5E3E67-3061-48F7-8BDC-1D42AD01FD13}"/>
    <hyperlink ref="H7" r:id="rId5" display="mailto:sneha@gmail.com" xr:uid="{BFEC0F08-943F-4670-ABD4-30ED5A07F75F}"/>
    <hyperlink ref="H8" r:id="rId6" display="mailto:karthik@gmail.com" xr:uid="{50D8133D-4634-413A-8F52-32351FDFE533}"/>
    <hyperlink ref="H10" r:id="rId7" display="mailto:ravi@gmail.com" xr:uid="{8A3BD15B-A088-4E36-BF85-99478D24EE3B}"/>
    <hyperlink ref="H11" r:id="rId8" display="mailto:meena@gmail.com" xr:uid="{E872AFAD-2B7D-4AF8-ADEE-1E73B507C40B}"/>
    <hyperlink ref="H12" r:id="rId9" display="mailto:john@gmail.com" xr:uid="{04F13725-1523-4107-817E-EB0711D0667A}"/>
    <hyperlink ref="H13" r:id="rId10" display="mailto:vikram@gmail.com" xr:uid="{17FF9601-8315-4783-B5D5-C439DC003204}"/>
    <hyperlink ref="H15" r:id="rId11" display="mailto:suresh@gmail.com" xr:uid="{4B3F99B9-71D9-4518-A200-333B47E8E263}"/>
    <hyperlink ref="H16" r:id="rId12" display="mailto:lakshmi@gmail.com" xr:uid="{A286B6C5-A42E-4912-B870-CA66200B70B7}"/>
    <hyperlink ref="H9" r:id="rId13" display="mailto:divya@gmail.com" xr:uid="{FBB38D39-CB1B-4E48-BCAC-AE37F09053D7}"/>
    <hyperlink ref="H4" r:id="rId14" display="rahul@gmail" xr:uid="{333E8D69-0D05-4176-98B1-E5E96BACEB1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893D634F-04C4-49D9-A61B-A5CC53DD11B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K2:K16</xm:sqref>
        </x14:conditionalFormatting>
        <x14:conditionalFormatting xmlns:xm="http://schemas.microsoft.com/office/excel/2006/main">
          <x14:cfRule type="iconSet" priority="4" id="{AF7B47B1-861D-40EA-ABAD-1A56F4CA0C38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L2:L16</xm:sqref>
        </x14:conditionalFormatting>
        <x14:conditionalFormatting xmlns:xm="http://schemas.microsoft.com/office/excel/2006/main">
          <x14:cfRule type="iconSet" priority="5" id="{74B141EC-8D0E-4EF9-B70B-D620941ECF3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Sheet2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2026-09-18T14:20:06Z</dcterms:created>
  <dcterms:modified xsi:type="dcterms:W3CDTF">2026-09-18T15:41:51Z</dcterms:modified>
</cp:coreProperties>
</file>