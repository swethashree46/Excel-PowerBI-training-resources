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\AI NIXA\Excel-PowerBI-training-resources\Excel\"/>
    </mc:Choice>
  </mc:AlternateContent>
  <xr:revisionPtr revIDLastSave="0" documentId="8_{1418DA66-58BB-473E-931C-E8B01337C174}" xr6:coauthVersionLast="47" xr6:coauthVersionMax="47" xr10:uidLastSave="{00000000-0000-0000-0000-000000000000}"/>
  <bookViews>
    <workbookView xWindow="-108" yWindow="-108" windowWidth="23256" windowHeight="12456" activeTab="2" xr2:uid="{CB439870-0258-4D20-A836-9C0FA4E32596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3" l="1"/>
  <c r="I12" i="3"/>
  <c r="N7" i="2"/>
  <c r="M7" i="2"/>
  <c r="L7" i="2"/>
  <c r="K7" i="2"/>
  <c r="J7" i="2"/>
  <c r="K16" i="1"/>
  <c r="L12" i="1"/>
  <c r="N12" i="1" s="1"/>
  <c r="O12" i="1" l="1"/>
</calcChain>
</file>

<file path=xl/sharedStrings.xml><?xml version="1.0" encoding="utf-8"?>
<sst xmlns="http://schemas.openxmlformats.org/spreadsheetml/2006/main" count="52" uniqueCount="35">
  <si>
    <t>Products</t>
  </si>
  <si>
    <t>Code</t>
  </si>
  <si>
    <t>Quantity</t>
  </si>
  <si>
    <t>Price</t>
  </si>
  <si>
    <t>Mobile</t>
  </si>
  <si>
    <t>Computer</t>
  </si>
  <si>
    <t>Camera</t>
  </si>
  <si>
    <t>Watches</t>
  </si>
  <si>
    <t>Cosmetics</t>
  </si>
  <si>
    <t>Shoes</t>
  </si>
  <si>
    <t>Laptop</t>
  </si>
  <si>
    <t>Perfumes</t>
  </si>
  <si>
    <t>Vasanth</t>
  </si>
  <si>
    <t>Vedha</t>
  </si>
  <si>
    <t>Mutharasu</t>
  </si>
  <si>
    <t>Excel</t>
  </si>
  <si>
    <t>SQL</t>
  </si>
  <si>
    <t>Power BI</t>
  </si>
  <si>
    <t>Python</t>
  </si>
  <si>
    <t>Sub</t>
  </si>
  <si>
    <t>Emp ID</t>
  </si>
  <si>
    <t>Name</t>
  </si>
  <si>
    <t>Department</t>
  </si>
  <si>
    <t>Salary</t>
  </si>
  <si>
    <t>aaa</t>
  </si>
  <si>
    <t>DA</t>
  </si>
  <si>
    <t>bbb</t>
  </si>
  <si>
    <t>DEA</t>
  </si>
  <si>
    <t>ccc</t>
  </si>
  <si>
    <t>DE</t>
  </si>
  <si>
    <t>ddd</t>
  </si>
  <si>
    <t>DS</t>
  </si>
  <si>
    <t>eee</t>
  </si>
  <si>
    <t>BA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</si>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</sst>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NumberFormat="1" applyFill="1" applyAlignment="1">
      <alignment vertical="center" wrapText="1"/>
    </xf>
    <xf numFmtId="0" fontId="0" fillId="2" borderId="0" xfId="0" applyFill="1"/>
    <xf numFmtId="168" fontId="0" fillId="2" borderId="0" xfId="0" applyNumberFormat="1" applyFill="1"/>
    <xf numFmtId="168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E2A5-79ED-4435-8B1F-1963D811EB06}">
  <dimension ref="E7:O16"/>
  <sheetViews>
    <sheetView topLeftCell="A5" workbookViewId="0">
      <selection activeCell="N18" sqref="N18"/>
    </sheetView>
  </sheetViews>
  <sheetFormatPr defaultRowHeight="14.4" x14ac:dyDescent="0.3"/>
  <cols>
    <col min="5" max="5" width="18" customWidth="1"/>
    <col min="12" max="12" width="9.44140625" bestFit="1" customWidth="1"/>
    <col min="14" max="14" width="10.44140625" bestFit="1" customWidth="1"/>
  </cols>
  <sheetData>
    <row r="7" spans="5:15" x14ac:dyDescent="0.3">
      <c r="E7">
        <v>1</v>
      </c>
      <c r="F7">
        <v>2</v>
      </c>
      <c r="G7">
        <v>3</v>
      </c>
      <c r="H7">
        <v>4</v>
      </c>
    </row>
    <row r="8" spans="5:15" x14ac:dyDescent="0.3">
      <c r="E8" s="3" t="s">
        <v>0</v>
      </c>
      <c r="F8" s="3" t="s">
        <v>1</v>
      </c>
      <c r="G8" s="3" t="s">
        <v>2</v>
      </c>
      <c r="H8" s="4" t="s">
        <v>3</v>
      </c>
    </row>
    <row r="9" spans="5:15" x14ac:dyDescent="0.3">
      <c r="E9" s="1" t="s">
        <v>4</v>
      </c>
      <c r="F9" s="1">
        <v>101</v>
      </c>
      <c r="G9" s="1">
        <v>2</v>
      </c>
      <c r="H9" s="2">
        <v>500</v>
      </c>
    </row>
    <row r="10" spans="5:15" ht="28.8" x14ac:dyDescent="0.3">
      <c r="E10" s="1" t="s">
        <v>5</v>
      </c>
      <c r="F10" s="1">
        <v>102</v>
      </c>
      <c r="G10" s="1">
        <v>3</v>
      </c>
      <c r="H10" s="2">
        <v>400</v>
      </c>
    </row>
    <row r="11" spans="5:15" x14ac:dyDescent="0.3">
      <c r="E11" s="1" t="s">
        <v>6</v>
      </c>
      <c r="F11" s="1">
        <v>103</v>
      </c>
      <c r="G11" s="1">
        <v>1</v>
      </c>
      <c r="H11" s="2">
        <v>700</v>
      </c>
      <c r="K11" s="5" t="s">
        <v>0</v>
      </c>
      <c r="L11" s="6" t="s">
        <v>3</v>
      </c>
      <c r="M11" s="5" t="s">
        <v>2</v>
      </c>
      <c r="N11" s="6" t="s">
        <v>34</v>
      </c>
    </row>
    <row r="12" spans="5:15" x14ac:dyDescent="0.3">
      <c r="E12" s="1" t="s">
        <v>7</v>
      </c>
      <c r="F12" s="1">
        <v>104</v>
      </c>
      <c r="G12" s="1">
        <v>4</v>
      </c>
      <c r="H12" s="2">
        <v>560</v>
      </c>
      <c r="K12" t="s">
        <v>8</v>
      </c>
      <c r="L12" s="7">
        <f>VLOOKUP(K12,E9:H16,4,FALSE)</f>
        <v>4000</v>
      </c>
      <c r="M12">
        <v>5</v>
      </c>
      <c r="N12" s="7">
        <f>PRODUCT(L12,M12)</f>
        <v>20000</v>
      </c>
      <c r="O12">
        <f>L12*M12</f>
        <v>20000</v>
      </c>
    </row>
    <row r="13" spans="5:15" ht="28.8" x14ac:dyDescent="0.3">
      <c r="E13" s="1" t="s">
        <v>8</v>
      </c>
      <c r="F13" s="1">
        <v>105</v>
      </c>
      <c r="G13" s="1">
        <v>5</v>
      </c>
      <c r="H13" s="2">
        <v>4000</v>
      </c>
    </row>
    <row r="14" spans="5:15" x14ac:dyDescent="0.3">
      <c r="E14" s="1" t="s">
        <v>9</v>
      </c>
      <c r="F14" s="1">
        <v>106</v>
      </c>
      <c r="G14" s="1">
        <v>7</v>
      </c>
      <c r="H14" s="2">
        <v>820</v>
      </c>
    </row>
    <row r="15" spans="5:15" x14ac:dyDescent="0.3">
      <c r="E15" s="1" t="s">
        <v>10</v>
      </c>
      <c r="F15" s="1">
        <v>107</v>
      </c>
      <c r="G15" s="1">
        <v>6</v>
      </c>
      <c r="H15" s="2">
        <v>456</v>
      </c>
      <c r="K15" s="5" t="s">
        <v>0</v>
      </c>
      <c r="L15" s="5" t="s">
        <v>1</v>
      </c>
    </row>
    <row r="16" spans="5:15" x14ac:dyDescent="0.3">
      <c r="E16" s="1" t="s">
        <v>11</v>
      </c>
      <c r="F16" s="1">
        <v>108</v>
      </c>
      <c r="G16" s="1">
        <v>2</v>
      </c>
      <c r="H16" s="2">
        <v>546</v>
      </c>
      <c r="K16" t="e">
        <f>VLOOKUP(L16,E9:H16,1,FALSE)</f>
        <v>#N/A</v>
      </c>
      <c r="L16">
        <v>105</v>
      </c>
    </row>
  </sheetData>
  <dataValidations count="2">
    <dataValidation type="list" allowBlank="1" showInputMessage="1" showErrorMessage="1" sqref="K12" xr:uid="{D1661668-B109-4342-AC2F-D3C77D16690C}">
      <formula1>$E$9:$E$16</formula1>
    </dataValidation>
    <dataValidation type="list" allowBlank="1" showInputMessage="1" showErrorMessage="1" sqref="L16" xr:uid="{873D09B9-1550-453F-9651-BA02483E384D}">
      <formula1>$F$9:$F$16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77FD-F4A2-482B-ABF6-98F8D6053204}">
  <dimension ref="C6:N10"/>
  <sheetViews>
    <sheetView workbookViewId="0">
      <selection activeCell="N8" sqref="N8"/>
    </sheetView>
  </sheetViews>
  <sheetFormatPr defaultColWidth="13.5546875" defaultRowHeight="14.4" x14ac:dyDescent="0.3"/>
  <cols>
    <col min="4" max="4" width="8" bestFit="1" customWidth="1"/>
    <col min="5" max="5" width="7.5546875" bestFit="1" customWidth="1"/>
    <col min="6" max="6" width="6.109375" bestFit="1" customWidth="1"/>
    <col min="7" max="7" width="9.5546875" bestFit="1" customWidth="1"/>
  </cols>
  <sheetData>
    <row r="6" spans="3:14" x14ac:dyDescent="0.3">
      <c r="C6">
        <v>1</v>
      </c>
      <c r="D6" s="3" t="s">
        <v>19</v>
      </c>
      <c r="E6" s="1" t="s">
        <v>12</v>
      </c>
      <c r="F6" s="1" t="s">
        <v>13</v>
      </c>
      <c r="G6" s="1" t="s">
        <v>14</v>
      </c>
      <c r="I6" s="3" t="s">
        <v>21</v>
      </c>
      <c r="J6" s="3" t="s">
        <v>15</v>
      </c>
      <c r="K6" s="3" t="s">
        <v>16</v>
      </c>
      <c r="L6" s="3" t="s">
        <v>17</v>
      </c>
      <c r="M6" s="3" t="s">
        <v>18</v>
      </c>
      <c r="N6" s="3" t="s">
        <v>34</v>
      </c>
    </row>
    <row r="7" spans="3:14" x14ac:dyDescent="0.3">
      <c r="C7">
        <v>2</v>
      </c>
      <c r="D7" s="3" t="s">
        <v>15</v>
      </c>
      <c r="E7" s="1">
        <v>92</v>
      </c>
      <c r="F7" s="1">
        <v>82</v>
      </c>
      <c r="G7" s="1">
        <v>72</v>
      </c>
      <c r="I7" t="s">
        <v>14</v>
      </c>
      <c r="J7">
        <f>HLOOKUP(I7,D6:G10,2,FALSE)</f>
        <v>72</v>
      </c>
      <c r="K7">
        <f>HLOOKUP(I7,D6:G10,3,FALSE)</f>
        <v>95</v>
      </c>
      <c r="L7">
        <f>HLOOKUP(I7,D6:G10,4,FALSE)</f>
        <v>69</v>
      </c>
      <c r="M7">
        <f>HLOOKUP(I7,D6:G10,5,FALSE)</f>
        <v>85</v>
      </c>
      <c r="N7">
        <f>SUM(J7,K7,L7,M7,)</f>
        <v>321</v>
      </c>
    </row>
    <row r="8" spans="3:14" x14ac:dyDescent="0.3">
      <c r="C8">
        <v>3</v>
      </c>
      <c r="D8" s="3" t="s">
        <v>16</v>
      </c>
      <c r="E8" s="1">
        <v>75</v>
      </c>
      <c r="F8" s="1">
        <v>80.209999999999994</v>
      </c>
      <c r="G8" s="1">
        <v>95</v>
      </c>
    </row>
    <row r="9" spans="3:14" x14ac:dyDescent="0.3">
      <c r="C9">
        <v>4</v>
      </c>
      <c r="D9" s="3" t="s">
        <v>17</v>
      </c>
      <c r="E9" s="1">
        <v>63</v>
      </c>
      <c r="F9" s="1">
        <v>75</v>
      </c>
      <c r="G9" s="1">
        <v>69</v>
      </c>
    </row>
    <row r="10" spans="3:14" x14ac:dyDescent="0.3">
      <c r="C10">
        <v>5</v>
      </c>
      <c r="D10" s="3" t="s">
        <v>18</v>
      </c>
      <c r="E10" s="1">
        <v>65</v>
      </c>
      <c r="F10" s="1">
        <v>45</v>
      </c>
      <c r="G10" s="1">
        <v>85</v>
      </c>
    </row>
  </sheetData>
  <dataValidations count="1">
    <dataValidation type="list" allowBlank="1" showInputMessage="1" showErrorMessage="1" sqref="I7" xr:uid="{420150E4-1B9F-4CA4-AAE6-503B61E9E0D3}">
      <formula1>$E$6:$G$6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1E67-4E11-407E-97C9-4E49F6BFE67A}">
  <dimension ref="C6:I13"/>
  <sheetViews>
    <sheetView tabSelected="1" workbookViewId="0">
      <selection activeCell="I17" sqref="I17"/>
    </sheetView>
  </sheetViews>
  <sheetFormatPr defaultColWidth="15.44140625" defaultRowHeight="14.4" x14ac:dyDescent="0.3"/>
  <sheetData>
    <row r="6" spans="3:9" x14ac:dyDescent="0.3">
      <c r="C6" s="3" t="s">
        <v>20</v>
      </c>
      <c r="D6" s="3" t="s">
        <v>23</v>
      </c>
      <c r="E6" s="3" t="s">
        <v>22</v>
      </c>
      <c r="F6" s="3" t="s">
        <v>21</v>
      </c>
    </row>
    <row r="7" spans="3:9" x14ac:dyDescent="0.3">
      <c r="C7" s="1">
        <v>101</v>
      </c>
      <c r="D7" s="1">
        <v>5000</v>
      </c>
      <c r="E7" s="1" t="s">
        <v>25</v>
      </c>
      <c r="F7" s="1" t="s">
        <v>24</v>
      </c>
    </row>
    <row r="8" spans="3:9" x14ac:dyDescent="0.3">
      <c r="C8" s="1">
        <v>102</v>
      </c>
      <c r="D8" s="1">
        <v>6000</v>
      </c>
      <c r="E8" s="1" t="s">
        <v>27</v>
      </c>
      <c r="F8" s="1" t="s">
        <v>26</v>
      </c>
    </row>
    <row r="9" spans="3:9" x14ac:dyDescent="0.3">
      <c r="C9" s="1">
        <v>103</v>
      </c>
      <c r="D9" s="1">
        <v>7000</v>
      </c>
      <c r="E9" s="1" t="s">
        <v>29</v>
      </c>
      <c r="F9" s="1" t="s">
        <v>28</v>
      </c>
    </row>
    <row r="10" spans="3:9" x14ac:dyDescent="0.3">
      <c r="C10" s="1">
        <v>104</v>
      </c>
      <c r="D10" s="1">
        <v>1000</v>
      </c>
      <c r="E10" s="1" t="s">
        <v>31</v>
      </c>
      <c r="F10" s="1" t="s">
        <v>30</v>
      </c>
    </row>
    <row r="11" spans="3:9" x14ac:dyDescent="0.3">
      <c r="C11" s="1">
        <v>105</v>
      </c>
      <c r="D11" s="1">
        <v>4000</v>
      </c>
      <c r="E11" s="1" t="s">
        <v>33</v>
      </c>
      <c r="F11" s="1" t="s">
        <v>32</v>
      </c>
      <c r="H11" s="8" t="s">
        <v>21</v>
      </c>
      <c r="I11" s="1" t="s">
        <v>28</v>
      </c>
    </row>
    <row r="12" spans="3:9" x14ac:dyDescent="0.3">
      <c r="H12" s="8" t="s">
        <v>22</v>
      </c>
      <c r="I12" t="str">
        <f>_xlfn.XLOOKUP(I11,F7:F11,E7:E11)</f>
        <v>DE</v>
      </c>
    </row>
    <row r="13" spans="3:9" x14ac:dyDescent="0.3">
      <c r="H13" s="8" t="s">
        <v>23</v>
      </c>
      <c r="I13" s="7">
        <f>_xlfn.XLOOKUP(I11,F7:F11,D7:D11)</f>
        <v>7000</v>
      </c>
    </row>
  </sheetData>
  <dataValidations count="1">
    <dataValidation type="list" allowBlank="1" showInputMessage="1" showErrorMessage="1" sqref="I11" xr:uid="{B0F182C1-9CB5-46EF-8452-D6A98D417962}">
      <formula1>$F$7:$F$11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SHREE JAYA SUNDAR</dc:creator>
  <cp:lastModifiedBy>SWETHA SHREE JAYA SUNDAR</cp:lastModifiedBy>
  <dcterms:created xsi:type="dcterms:W3CDTF">2026-09-13T14:08:30Z</dcterms:created>
  <dcterms:modified xsi:type="dcterms:W3CDTF">2026-09-13T15:32:30Z</dcterms:modified>
</cp:coreProperties>
</file>