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NALYST\AI NIXA\Excel-PowerBI-training-resources\Excel\"/>
    </mc:Choice>
  </mc:AlternateContent>
  <xr:revisionPtr revIDLastSave="0" documentId="8_{A4E62C07-130C-49F8-992D-F4C6BF214DB9}" xr6:coauthVersionLast="47" xr6:coauthVersionMax="47" xr10:uidLastSave="{00000000-0000-0000-0000-000000000000}"/>
  <bookViews>
    <workbookView xWindow="-108" yWindow="-108" windowWidth="23256" windowHeight="12456" activeTab="5" xr2:uid="{F6044C6F-189A-44CE-B37B-70120B822024}"/>
  </bookViews>
  <sheets>
    <sheet name="Additional" sheetId="4" r:id="rId1"/>
    <sheet name="Product" sheetId="3" r:id="rId2"/>
    <sheet name="Sales by Region" sheetId="8" r:id="rId3"/>
    <sheet name="Units by Product" sheetId="9" r:id="rId4"/>
    <sheet name="Sales by Category" sheetId="10" r:id="rId5"/>
    <sheet name="Sales trend" sheetId="11" r:id="rId6"/>
    <sheet name="Sales Data" sheetId="2" r:id="rId7"/>
    <sheet name="Charts" sheetId="1" r:id="rId8"/>
  </sheets>
  <definedNames>
    <definedName name="ExternalData_1" localSheetId="6" hidden="1">'Sales Data'!$A$1:$M$21</definedName>
    <definedName name="ExternalData_2" localSheetId="1" hidden="1">Product!$A$1:$D$6</definedName>
    <definedName name="ExternalData_3" localSheetId="0" hidden="1">Additional!$A$1:$E$6</definedName>
  </definedNames>
  <calcPr calcId="191029"/>
  <pivotCaches>
    <pivotCache cacheId="15" r:id="rId9"/>
    <pivotCache cacheId="11" r:id="rId10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141A8D-3266-48AC-8176-8F9BE20967FB}" keepAlive="1" name="Query - Additional" description="Connection to the 'Additional' query in the workbook." type="5" refreshedVersion="8" background="1" saveData="1">
    <dbPr connection="Provider=Microsoft.Mashup.OleDb.1;Data Source=$Workbook$;Location=Additional;Extended Properties=&quot;&quot;" command="SELECT * FROM [Additional]"/>
  </connection>
  <connection id="2" xr16:uid="{70057BF0-3CA3-4F8C-9264-F7CCF6EE6916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  <connection id="3" xr16:uid="{72C35354-B3D6-41A2-B603-9F514B6EA0C4}" keepAlive="1" name="Query - Sales Data" description="Connection to the 'Sales Data' query in the workbook." type="5" refreshedVersion="8" background="1" saveData="1">
    <dbPr connection="Provider=Microsoft.Mashup.OleDb.1;Data Source=$Workbook$;Location=&quot;Sales Data&quot;;Extended Properties=&quot;&quot;" command="SELECT * FROM [Sales Data]"/>
  </connection>
</connections>
</file>

<file path=xl/sharedStrings.xml><?xml version="1.0" encoding="utf-8"?>
<sst xmlns="http://schemas.openxmlformats.org/spreadsheetml/2006/main" count="263" uniqueCount="94">
  <si>
    <t>OrderID</t>
  </si>
  <si>
    <t>Date</t>
  </si>
  <si>
    <t>ProductID</t>
  </si>
  <si>
    <t>Region</t>
  </si>
  <si>
    <t>Units Sold</t>
  </si>
  <si>
    <t>Month</t>
  </si>
  <si>
    <t>Quarter</t>
  </si>
  <si>
    <t>Product.ProductName</t>
  </si>
  <si>
    <t>Product.Category</t>
  </si>
  <si>
    <t>Product.UnitPrice</t>
  </si>
  <si>
    <t>Quantity</t>
  </si>
  <si>
    <t>O101</t>
  </si>
  <si>
    <t>P101</t>
  </si>
  <si>
    <t>South</t>
  </si>
  <si>
    <t>September</t>
  </si>
  <si>
    <t>Laptop</t>
  </si>
  <si>
    <t>Electronics</t>
  </si>
  <si>
    <t>O105</t>
  </si>
  <si>
    <t>O102</t>
  </si>
  <si>
    <t>P102</t>
  </si>
  <si>
    <t>North</t>
  </si>
  <si>
    <t>Headphones</t>
  </si>
  <si>
    <t>Accessories</t>
  </si>
  <si>
    <t>O103</t>
  </si>
  <si>
    <t>P103</t>
  </si>
  <si>
    <t>East</t>
  </si>
  <si>
    <t>Keyboard</t>
  </si>
  <si>
    <t>O104</t>
  </si>
  <si>
    <t>P104</t>
  </si>
  <si>
    <t>West</t>
  </si>
  <si>
    <t>Monitor</t>
  </si>
  <si>
    <t>O106</t>
  </si>
  <si>
    <t>P105</t>
  </si>
  <si>
    <t>Office Chair</t>
  </si>
  <si>
    <t>Furniture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</si>
  <si>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</si>
  <si>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</si>
  <si>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</si>
  <si>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</si>
  <si>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</si>
  <si>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</si>
  <si>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</si>
  <si>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</si>
  <si>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</si>
  <si>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</si>
  <si>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</si>
  <si>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</si>
  <si>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</si>
  <si>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</si>
  <si>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O201</t>
  </si>
  <si>
    <t>O202</t>
  </si>
  <si>
    <t>O203</t>
  </si>
  <si>
    <t>O204</t>
  </si>
  <si>
    <t>O205</t>
  </si>
  <si>
    <t>ProductName</t>
  </si>
  <si>
    <t>Category</t>
  </si>
  <si>
    <t>UnitPrice</t>
  </si>
  <si>
    <t>Sales Amount</t>
  </si>
  <si>
    <t>Cost grp</t>
  </si>
  <si>
    <t>High</t>
  </si>
  <si>
    <t>Expensive</t>
  </si>
  <si>
    <t>Low</t>
  </si>
  <si>
    <t>Affordable</t>
  </si>
  <si>
    <t>Chart Type</t>
  </si>
  <si>
    <t>When to Use</t>
  </si>
  <si>
    <t>Example</t>
  </si>
  <si>
    <t>Column Chart</t>
  </si>
  <si>
    <t>Compare values across categories</t>
  </si>
  <si>
    <t>Sales by Region</t>
  </si>
  <si>
    <t>Bar Chart</t>
  </si>
  <si>
    <t>Compare/rank categories, especially with long names</t>
  </si>
  <si>
    <t>Top 10 Products</t>
  </si>
  <si>
    <t>Line Chart</t>
  </si>
  <si>
    <t>Show trends over time</t>
  </si>
  <si>
    <t>Monthly Sales</t>
  </si>
  <si>
    <t>Pie Chart</t>
  </si>
  <si>
    <t>Show parts of a whole</t>
  </si>
  <si>
    <t>Sales % by Category</t>
  </si>
  <si>
    <t>Doughnut Chart</t>
  </si>
  <si>
    <t>Parts of a whole, with a slightly different visual</t>
  </si>
  <si>
    <t>Expense % by Department</t>
  </si>
  <si>
    <t>Area Chart</t>
  </si>
  <si>
    <t>Show trend + magnitude/volume over time</t>
  </si>
  <si>
    <t>Revenue Growth</t>
  </si>
  <si>
    <t>Scatter Chart</t>
  </si>
  <si>
    <t>Show relationship between two numerical values</t>
  </si>
  <si>
    <t>Quantity vs Sales Amount</t>
  </si>
  <si>
    <t>Combo Chart</t>
  </si>
  <si>
    <t>Compare two different measures/scales together</t>
  </si>
  <si>
    <t>Sales Amount + Profit %</t>
  </si>
  <si>
    <t>Row Labels</t>
  </si>
  <si>
    <t>Grand Total</t>
  </si>
  <si>
    <t>Sum of Sales Amount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</si>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</sst>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Congenial Light"/>
    </font>
    <font>
      <sz val="11"/>
      <color theme="1"/>
      <name val="Congenial Light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2" fontId="0" fillId="0" borderId="0" xfId="0" applyNumberFormat="1" applyAlignment="1">
      <alignment horizontal="left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[Visualization.xlsx]Sales by Region!PivotTable2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452000</c:v>
                </c:pt>
                <c:pt idx="1">
                  <c:v>160000</c:v>
                </c:pt>
                <c:pt idx="2">
                  <c:v>614500</c:v>
                </c:pt>
                <c:pt idx="3">
                  <c:v>516500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8-4E5F-8C53-0D6A6A8FD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711903"/>
        <c:axId val="52176495"/>
      </c:barChart>
      <c:catAx>
        <c:axId val="18971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76495"/>
        <c:crosses val="autoZero"/>
        <c:auto val="1"/>
        <c:lblAlgn val="ctr"/>
        <c:lblOffset val="100"/>
        <c:noMultiLvlLbl val="0"/>
      </c:catAx>
      <c:valAx>
        <c:axId val="5217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1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[Visualization.xlsx]Units by Product!PivotTable4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'Units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'Units by Product'!$A$4:$A$9</c:f>
              <c:strCache>
                <c:ptCount val="5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Office Chair</c:v>
                </c:pt>
              </c:strCache>
            </c:strRef>
          </c:cat>
          <c:val>
            <c:numRef>
              <c:f>'Units by Product'!$B$4:$B$9</c:f>
              <c:numCache>
                <c:formatCode>General</c:formatCode>
                <c:ptCount val="5"/>
                <c:pt idx="0">
                  <c:v>16</c:v>
                </c:pt>
                <c:pt idx="1">
                  <c:v>20</c:v>
                </c:pt>
                <c:pt idx="2">
                  <c:v>23</c:v>
                </c:pt>
                <c:pt idx="3">
                  <c:v>24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B-4DF4-8814-3E58059A5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439711"/>
        <c:axId val="52205775"/>
        <c:axId val="0"/>
      </c:bar3DChart>
      <c:catAx>
        <c:axId val="183439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05775"/>
        <c:crosses val="autoZero"/>
        <c:auto val="1"/>
        <c:lblAlgn val="ctr"/>
        <c:lblOffset val="100"/>
        <c:noMultiLvlLbl val="0"/>
      </c:catAx>
      <c:valAx>
        <c:axId val="5220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3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[Visualization.xlsx]Sales by Category!PivotTable5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layout>
            <c:manualLayout>
              <c:x val="4.1013123359580052E-2"/>
              <c:y val="4.044546515018952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explosion val="2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BD9-4D7B-8CF0-56CE3D6DCC6D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BD9-4D7B-8CF0-56CE3D6DCC6D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4BD9-4D7B-8CF0-56CE3D6DCC6D}"/>
              </c:ext>
            </c:extLst>
          </c:dPt>
          <c:dLbls>
            <c:dLbl>
              <c:idx val="0"/>
              <c:layout>
                <c:manualLayout>
                  <c:x val="4.1013123359580052E-2"/>
                  <c:y val="4.04454651501895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D9-4D7B-8CF0-56CE3D6DCC6D}"/>
                </c:ext>
              </c:extLst>
            </c:dLbl>
            <c:dLbl>
              <c:idx val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156082"/>
                  </a:solidFill>
                  <a:round/>
                </a:ln>
                <a:effectLst>
                  <a:outerShdw blurRad="50800" dist="38100" dir="2700000" algn="tl" rotWithShape="0">
                    <a:srgbClr val="156082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BD9-4D7B-8CF0-56CE3D6DCC6D}"/>
                </c:ext>
              </c:extLst>
            </c:dLbl>
            <c:dLbl>
              <c:idx val="2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156082"/>
                  </a:solidFill>
                  <a:round/>
                </a:ln>
                <a:effectLst>
                  <a:outerShdw blurRad="50800" dist="38100" dir="2700000" algn="tl" rotWithShape="0">
                    <a:srgbClr val="156082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4BD9-4D7B-8CF0-56CE3D6DCC6D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56082"/>
                </a:solidFill>
                <a:round/>
              </a:ln>
              <a:effectLst>
                <a:outerShdw blurRad="50800" dist="38100" dir="2700000" algn="tl" rotWithShape="0">
                  <a:srgbClr val="156082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Category'!$A$4:$A$7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62000</c:v>
                </c:pt>
                <c:pt idx="1">
                  <c:v>1553000</c:v>
                </c:pt>
                <c:pt idx="2">
                  <c:v>128000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9-4D7B-8CF0-56CE3D6DCC6D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[Visualization.xlsx]Sales trend!PivotTable6</c:name>
    <c:fmtId val="5"/>
  </c:pivotSource>
  <c:chart>
    <c:title>
      <c:layout>
        <c:manualLayout>
          <c:xMode val="edge"/>
          <c:yMode val="edge"/>
          <c:x val="0.45760411198600182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trend'!$A$4:$A$24</c:f>
              <c:strCache>
                <c:ptCount val="20"/>
                <c:pt idx="0">
                  <c:v>01-09-2026 00:00</c:v>
                </c:pt>
                <c:pt idx="1">
                  <c:v>02-09-2026 00:00</c:v>
                </c:pt>
                <c:pt idx="2">
                  <c:v>03-09-2026 00:00</c:v>
                </c:pt>
                <c:pt idx="3">
                  <c:v>04-09-2026 00:00</c:v>
                </c:pt>
                <c:pt idx="4">
                  <c:v>05-09-2026 00:00</c:v>
                </c:pt>
                <c:pt idx="5">
                  <c:v>06-09-2026 00:00</c:v>
                </c:pt>
                <c:pt idx="6">
                  <c:v>07-09-2026 00:00</c:v>
                </c:pt>
                <c:pt idx="7">
                  <c:v>08-09-2026 00:00</c:v>
                </c:pt>
                <c:pt idx="8">
                  <c:v>09-09-2026 00:00</c:v>
                </c:pt>
                <c:pt idx="9">
                  <c:v>10-09-2026 00:00</c:v>
                </c:pt>
                <c:pt idx="10">
                  <c:v>11-09-2026 00:00</c:v>
                </c:pt>
                <c:pt idx="11">
                  <c:v>12-09-2026 00:00</c:v>
                </c:pt>
                <c:pt idx="12">
                  <c:v>13-09-2026 00:00</c:v>
                </c:pt>
                <c:pt idx="13">
                  <c:v>14-09-2026 00:00</c:v>
                </c:pt>
                <c:pt idx="14">
                  <c:v>15-09-2026 00:00</c:v>
                </c:pt>
                <c:pt idx="15">
                  <c:v>16-09-2026 00:00</c:v>
                </c:pt>
                <c:pt idx="16">
                  <c:v>17-09-2026 00:00</c:v>
                </c:pt>
                <c:pt idx="17">
                  <c:v>18-09-2026 00:00</c:v>
                </c:pt>
                <c:pt idx="18">
                  <c:v>19-09-2026 00:00</c:v>
                </c:pt>
                <c:pt idx="19">
                  <c:v>20-09-2026 00:00</c:v>
                </c:pt>
              </c:strCache>
            </c:strRef>
          </c:cat>
          <c:val>
            <c:numRef>
              <c:f>'Sales trend'!$B$4:$B$24</c:f>
              <c:numCache>
                <c:formatCode>General</c:formatCode>
                <c:ptCount val="20"/>
                <c:pt idx="0">
                  <c:v>275000</c:v>
                </c:pt>
                <c:pt idx="1">
                  <c:v>6000</c:v>
                </c:pt>
                <c:pt idx="2">
                  <c:v>12000</c:v>
                </c:pt>
                <c:pt idx="3">
                  <c:v>24000</c:v>
                </c:pt>
                <c:pt idx="4">
                  <c:v>220000</c:v>
                </c:pt>
                <c:pt idx="5">
                  <c:v>48000</c:v>
                </c:pt>
                <c:pt idx="6">
                  <c:v>14000</c:v>
                </c:pt>
                <c:pt idx="7">
                  <c:v>4500</c:v>
                </c:pt>
                <c:pt idx="8">
                  <c:v>108000</c:v>
                </c:pt>
                <c:pt idx="9">
                  <c:v>16000</c:v>
                </c:pt>
                <c:pt idx="10">
                  <c:v>330000</c:v>
                </c:pt>
                <c:pt idx="11">
                  <c:v>8000</c:v>
                </c:pt>
                <c:pt idx="12">
                  <c:v>7500</c:v>
                </c:pt>
                <c:pt idx="13">
                  <c:v>84000</c:v>
                </c:pt>
                <c:pt idx="14">
                  <c:v>24000</c:v>
                </c:pt>
                <c:pt idx="15">
                  <c:v>440000</c:v>
                </c:pt>
                <c:pt idx="16">
                  <c:v>4000</c:v>
                </c:pt>
                <c:pt idx="17">
                  <c:v>6000</c:v>
                </c:pt>
                <c:pt idx="18">
                  <c:v>72000</c:v>
                </c:pt>
                <c:pt idx="19">
                  <c:v>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26-434F-907B-48AC7A2A0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382127"/>
        <c:axId val="52174095"/>
      </c:lineChart>
      <c:catAx>
        <c:axId val="5738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74095"/>
        <c:crosses val="autoZero"/>
        <c:auto val="1"/>
        <c:lblAlgn val="ctr"/>
        <c:lblOffset val="100"/>
        <c:noMultiLvlLbl val="0"/>
      </c:catAx>
      <c:valAx>
        <c:axId val="5217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8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3</xdr:row>
      <xdr:rowOff>11430</xdr:rowOff>
    </xdr:from>
    <xdr:to>
      <xdr:col>10</xdr:col>
      <xdr:colOff>68580</xdr:colOff>
      <xdr:row>18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C20CAA-A8C5-D923-B9DE-4E9793266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4</xdr:row>
      <xdr:rowOff>163830</xdr:rowOff>
    </xdr:from>
    <xdr:to>
      <xdr:col>10</xdr:col>
      <xdr:colOff>289560</xdr:colOff>
      <xdr:row>19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EE6534-05F0-150A-E8E4-0022822CD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5</xdr:row>
      <xdr:rowOff>49530</xdr:rowOff>
    </xdr:from>
    <xdr:to>
      <xdr:col>10</xdr:col>
      <xdr:colOff>121920</xdr:colOff>
      <xdr:row>20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783721-F490-A716-82A9-BCC62BB17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6</xdr:row>
      <xdr:rowOff>19050</xdr:rowOff>
    </xdr:from>
    <xdr:to>
      <xdr:col>10</xdr:col>
      <xdr:colOff>281940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4F5155-B22B-2D61-3488-D6DD1BFA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0.842752662036" createdVersion="8" refreshedVersion="8" minRefreshableVersion="3" recordCount="20" xr:uid="{8AB9D4FD-8190-4B33-B15E-F8894071560F}">
  <cacheSource type="worksheet">
    <worksheetSource name="Sales_Data[[Date]:[Cost grp]]"/>
  </cacheSource>
  <cacheFields count="12">
    <cacheField name="Date" numFmtId="22">
      <sharedItems containsSemiMixedTypes="0" containsNonDate="0" containsDate="1" containsString="0" minDate="2026-09-01T00:00:00" maxDate="2026-09-21T00:00:00" count="20">
        <d v="2026-09-01T00:00:00"/>
        <d v="2026-09-05T00:00:00"/>
        <d v="2026-09-02T00:00:00"/>
        <d v="2026-09-03T00:00:00"/>
        <d v="2026-09-04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</sharedItems>
    </cacheField>
    <cacheField name="ProductID" numFmtId="0">
      <sharedItems/>
    </cacheField>
    <cacheField name="Region" numFmtId="0">
      <sharedItems count="4">
        <s v="South"/>
        <s v="North"/>
        <s v="East"/>
        <s v="West"/>
      </sharedItems>
    </cacheField>
    <cacheField name="Units Sold" numFmtId="0">
      <sharedItems containsSemiMixedTypes="0" containsString="0" containsNumber="1" containsInteger="1" minValue="2" maxValue="9"/>
    </cacheField>
    <cacheField name="Month" numFmtId="0">
      <sharedItems/>
    </cacheField>
    <cacheField name="Quarter" numFmtId="0">
      <sharedItems containsSemiMixedTypes="0" containsString="0" containsNumber="1" containsInteger="1" minValue="3" maxValue="3"/>
    </cacheField>
    <cacheField name="Product.ProductName" numFmtId="0">
      <sharedItems/>
    </cacheField>
    <cacheField name="Product.Category" numFmtId="0">
      <sharedItems count="3">
        <s v="Electronics"/>
        <s v="Accessories"/>
        <s v="Furniture"/>
      </sharedItems>
    </cacheField>
    <cacheField name="Product.UnitPrice" numFmtId="0">
      <sharedItems containsSemiMixedTypes="0" containsString="0" containsNumber="1" containsInteger="1" minValue="1500" maxValue="55000"/>
    </cacheField>
    <cacheField name="Sales Amount" numFmtId="0">
      <sharedItems containsSemiMixedTypes="0" containsString="0" containsNumber="1" containsInteger="1" minValue="4000" maxValue="440000"/>
    </cacheField>
    <cacheField name="Category" numFmtId="0">
      <sharedItems/>
    </cacheField>
    <cacheField name="Cost gr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0.844128472221" createdVersion="8" refreshedVersion="8" minRefreshableVersion="3" recordCount="20" xr:uid="{D4F7973D-FE2B-4950-8B62-1B1C727C9C33}">
  <cacheSource type="worksheet">
    <worksheetSource name="Sales_Data"/>
  </cacheSource>
  <cacheFields count="13">
    <cacheField name="OrderID" numFmtId="0">
      <sharedItems/>
    </cacheField>
    <cacheField name="Date" numFmtId="22">
      <sharedItems containsSemiMixedTypes="0" containsNonDate="0" containsDate="1" containsString="0" minDate="2026-09-01T00:00:00" maxDate="2026-09-21T00:00:00"/>
    </cacheField>
    <cacheField name="ProductID" numFmtId="0">
      <sharedItems/>
    </cacheField>
    <cacheField name="Region" numFmtId="0">
      <sharedItems/>
    </cacheField>
    <cacheField name="Units Sold" numFmtId="0">
      <sharedItems containsSemiMixedTypes="0" containsString="0" containsNumber="1" containsInteger="1" minValue="2" maxValue="9"/>
    </cacheField>
    <cacheField name="Month" numFmtId="0">
      <sharedItems/>
    </cacheField>
    <cacheField name="Quarter" numFmtId="0">
      <sharedItems containsSemiMixedTypes="0" containsString="0" containsNumber="1" containsInteger="1" minValue="3" maxValue="3"/>
    </cacheField>
    <cacheField name="Product.ProductName" numFmtId="0">
      <sharedItems count="5">
        <s v="Laptop"/>
        <s v="Headphones"/>
        <s v="Keyboard"/>
        <s v="Monitor"/>
        <s v="Office Chair"/>
      </sharedItems>
    </cacheField>
    <cacheField name="Product.Category" numFmtId="0">
      <sharedItems/>
    </cacheField>
    <cacheField name="Product.UnitPrice" numFmtId="0">
      <sharedItems containsSemiMixedTypes="0" containsString="0" containsNumber="1" containsInteger="1" minValue="1500" maxValue="55000"/>
    </cacheField>
    <cacheField name="Sales Amount" numFmtId="0">
      <sharedItems containsSemiMixedTypes="0" containsString="0" containsNumber="1" containsInteger="1" minValue="4000" maxValue="440000"/>
    </cacheField>
    <cacheField name="Category" numFmtId="0">
      <sharedItems/>
    </cacheField>
    <cacheField name="Cost gr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P101"/>
    <x v="0"/>
    <n v="5"/>
    <s v="September"/>
    <n v="3"/>
    <s v="Laptop"/>
    <x v="0"/>
    <n v="55000"/>
    <n v="275000"/>
    <s v="High"/>
    <s v="Expensive"/>
  </r>
  <r>
    <x v="1"/>
    <s v="P101"/>
    <x v="0"/>
    <n v="4"/>
    <s v="September"/>
    <n v="3"/>
    <s v="Laptop"/>
    <x v="0"/>
    <n v="55000"/>
    <n v="220000"/>
    <s v="High"/>
    <s v="Expensive"/>
  </r>
  <r>
    <x v="2"/>
    <s v="P102"/>
    <x v="1"/>
    <n v="3"/>
    <s v="September"/>
    <n v="3"/>
    <s v="Headphones"/>
    <x v="1"/>
    <n v="2000"/>
    <n v="6000"/>
    <s v="Low"/>
    <s v="Affordable"/>
  </r>
  <r>
    <x v="3"/>
    <s v="P103"/>
    <x v="2"/>
    <n v="8"/>
    <s v="September"/>
    <n v="3"/>
    <s v="Keyboard"/>
    <x v="1"/>
    <n v="1500"/>
    <n v="12000"/>
    <s v="Low"/>
    <s v="Affordable"/>
  </r>
  <r>
    <x v="4"/>
    <s v="P104"/>
    <x v="3"/>
    <n v="2"/>
    <s v="September"/>
    <n v="3"/>
    <s v="Monitor"/>
    <x v="0"/>
    <n v="12000"/>
    <n v="24000"/>
    <s v="Low"/>
    <s v="Affordable"/>
  </r>
  <r>
    <x v="5"/>
    <s v="P105"/>
    <x v="1"/>
    <n v="6"/>
    <s v="September"/>
    <n v="3"/>
    <s v="Office Chair"/>
    <x v="2"/>
    <n v="8000"/>
    <n v="48000"/>
    <s v="Low"/>
    <s v="Affordable"/>
  </r>
  <r>
    <x v="6"/>
    <s v="P102"/>
    <x v="2"/>
    <n v="7"/>
    <s v="September"/>
    <n v="3"/>
    <s v="Headphones"/>
    <x v="1"/>
    <n v="2000"/>
    <n v="14000"/>
    <s v="Low"/>
    <s v="Affordable"/>
  </r>
  <r>
    <x v="7"/>
    <s v="P103"/>
    <x v="3"/>
    <n v="3"/>
    <s v="September"/>
    <n v="3"/>
    <s v="Keyboard"/>
    <x v="1"/>
    <n v="1500"/>
    <n v="4500"/>
    <s v="Low"/>
    <s v="Affordable"/>
  </r>
  <r>
    <x v="8"/>
    <s v="P104"/>
    <x v="0"/>
    <n v="9"/>
    <s v="September"/>
    <n v="3"/>
    <s v="Monitor"/>
    <x v="0"/>
    <n v="12000"/>
    <n v="108000"/>
    <s v="Low"/>
    <s v="Affordable"/>
  </r>
  <r>
    <x v="9"/>
    <s v="P105"/>
    <x v="1"/>
    <n v="2"/>
    <s v="September"/>
    <n v="3"/>
    <s v="Office Chair"/>
    <x v="2"/>
    <n v="8000"/>
    <n v="16000"/>
    <s v="Low"/>
    <s v="Affordable"/>
  </r>
  <r>
    <x v="10"/>
    <s v="P101"/>
    <x v="2"/>
    <n v="6"/>
    <s v="September"/>
    <n v="3"/>
    <s v="Laptop"/>
    <x v="0"/>
    <n v="55000"/>
    <n v="330000"/>
    <s v="High"/>
    <s v="Expensive"/>
  </r>
  <r>
    <x v="11"/>
    <s v="P102"/>
    <x v="3"/>
    <n v="4"/>
    <s v="September"/>
    <n v="3"/>
    <s v="Headphones"/>
    <x v="1"/>
    <n v="2000"/>
    <n v="8000"/>
    <s v="Low"/>
    <s v="Affordable"/>
  </r>
  <r>
    <x v="12"/>
    <s v="P103"/>
    <x v="0"/>
    <n v="5"/>
    <s v="September"/>
    <n v="3"/>
    <s v="Keyboard"/>
    <x v="1"/>
    <n v="1500"/>
    <n v="7500"/>
    <s v="Low"/>
    <s v="Affordable"/>
  </r>
  <r>
    <x v="13"/>
    <s v="P104"/>
    <x v="1"/>
    <n v="7"/>
    <s v="September"/>
    <n v="3"/>
    <s v="Monitor"/>
    <x v="0"/>
    <n v="12000"/>
    <n v="84000"/>
    <s v="Low"/>
    <s v="Affordable"/>
  </r>
  <r>
    <x v="14"/>
    <s v="P105"/>
    <x v="2"/>
    <n v="3"/>
    <s v="September"/>
    <n v="3"/>
    <s v="Office Chair"/>
    <x v="2"/>
    <n v="8000"/>
    <n v="24000"/>
    <s v="Low"/>
    <s v="Affordable"/>
  </r>
  <r>
    <x v="15"/>
    <s v="P101"/>
    <x v="3"/>
    <n v="8"/>
    <s v="September"/>
    <n v="3"/>
    <s v="Laptop"/>
    <x v="0"/>
    <n v="55000"/>
    <n v="440000"/>
    <s v="High"/>
    <s v="Expensive"/>
  </r>
  <r>
    <x v="16"/>
    <s v="P102"/>
    <x v="0"/>
    <n v="2"/>
    <s v="September"/>
    <n v="3"/>
    <s v="Headphones"/>
    <x v="1"/>
    <n v="2000"/>
    <n v="4000"/>
    <s v="Low"/>
    <s v="Affordable"/>
  </r>
  <r>
    <x v="17"/>
    <s v="P103"/>
    <x v="1"/>
    <n v="4"/>
    <s v="September"/>
    <n v="3"/>
    <s v="Keyboard"/>
    <x v="1"/>
    <n v="1500"/>
    <n v="6000"/>
    <s v="Low"/>
    <s v="Affordable"/>
  </r>
  <r>
    <x v="18"/>
    <s v="P104"/>
    <x v="2"/>
    <n v="6"/>
    <s v="September"/>
    <n v="3"/>
    <s v="Monitor"/>
    <x v="0"/>
    <n v="12000"/>
    <n v="72000"/>
    <s v="Low"/>
    <s v="Affordable"/>
  </r>
  <r>
    <x v="19"/>
    <s v="P105"/>
    <x v="3"/>
    <n v="5"/>
    <s v="September"/>
    <n v="3"/>
    <s v="Office Chair"/>
    <x v="2"/>
    <n v="8000"/>
    <n v="40000"/>
    <s v="Low"/>
    <s v="Affordab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O101"/>
    <d v="2026-09-01T00:00:00"/>
    <s v="P101"/>
    <s v="South"/>
    <n v="5"/>
    <s v="September"/>
    <n v="3"/>
    <x v="0"/>
    <s v="Electronics"/>
    <n v="55000"/>
    <n v="275000"/>
    <s v="High"/>
    <s v="Expensive"/>
  </r>
  <r>
    <s v="O105"/>
    <d v="2026-09-05T00:00:00"/>
    <s v="P101"/>
    <s v="South"/>
    <n v="4"/>
    <s v="September"/>
    <n v="3"/>
    <x v="0"/>
    <s v="Electronics"/>
    <n v="55000"/>
    <n v="220000"/>
    <s v="High"/>
    <s v="Expensive"/>
  </r>
  <r>
    <s v="O102"/>
    <d v="2026-09-02T00:00:00"/>
    <s v="P102"/>
    <s v="North"/>
    <n v="3"/>
    <s v="September"/>
    <n v="3"/>
    <x v="1"/>
    <s v="Accessories"/>
    <n v="2000"/>
    <n v="6000"/>
    <s v="Low"/>
    <s v="Affordable"/>
  </r>
  <r>
    <s v="O103"/>
    <d v="2026-09-03T00:00:00"/>
    <s v="P103"/>
    <s v="East"/>
    <n v="8"/>
    <s v="September"/>
    <n v="3"/>
    <x v="2"/>
    <s v="Accessories"/>
    <n v="1500"/>
    <n v="12000"/>
    <s v="Low"/>
    <s v="Affordable"/>
  </r>
  <r>
    <s v="O104"/>
    <d v="2026-09-04T00:00:00"/>
    <s v="P104"/>
    <s v="West"/>
    <n v="2"/>
    <s v="September"/>
    <n v="3"/>
    <x v="3"/>
    <s v="Electronics"/>
    <n v="12000"/>
    <n v="24000"/>
    <s v="Low"/>
    <s v="Affordable"/>
  </r>
  <r>
    <s v="O106"/>
    <d v="2026-09-06T00:00:00"/>
    <s v="P105"/>
    <s v="North"/>
    <n v="6"/>
    <s v="September"/>
    <n v="3"/>
    <x v="4"/>
    <s v="Furniture"/>
    <n v="8000"/>
    <n v="48000"/>
    <s v="Low"/>
    <s v="Affordable"/>
  </r>
  <r>
    <s v="O107"/>
    <d v="2026-09-07T00:00:00"/>
    <s v="P102"/>
    <s v="East"/>
    <n v="7"/>
    <s v="September"/>
    <n v="3"/>
    <x v="1"/>
    <s v="Accessories"/>
    <n v="2000"/>
    <n v="14000"/>
    <s v="Low"/>
    <s v="Affordable"/>
  </r>
  <r>
    <s v="O108"/>
    <d v="2026-09-08T00:00:00"/>
    <s v="P103"/>
    <s v="West"/>
    <n v="3"/>
    <s v="September"/>
    <n v="3"/>
    <x v="2"/>
    <s v="Accessories"/>
    <n v="1500"/>
    <n v="4500"/>
    <s v="Low"/>
    <s v="Affordable"/>
  </r>
  <r>
    <s v="O109"/>
    <d v="2026-09-09T00:00:00"/>
    <s v="P104"/>
    <s v="South"/>
    <n v="9"/>
    <s v="September"/>
    <n v="3"/>
    <x v="3"/>
    <s v="Electronics"/>
    <n v="12000"/>
    <n v="108000"/>
    <s v="Low"/>
    <s v="Affordable"/>
  </r>
  <r>
    <s v="O110"/>
    <d v="2026-09-10T00:00:00"/>
    <s v="P105"/>
    <s v="North"/>
    <n v="2"/>
    <s v="September"/>
    <n v="3"/>
    <x v="4"/>
    <s v="Furniture"/>
    <n v="8000"/>
    <n v="16000"/>
    <s v="Low"/>
    <s v="Affordable"/>
  </r>
  <r>
    <s v="O111"/>
    <d v="2026-09-11T00:00:00"/>
    <s v="P101"/>
    <s v="East"/>
    <n v="6"/>
    <s v="September"/>
    <n v="3"/>
    <x v="0"/>
    <s v="Electronics"/>
    <n v="55000"/>
    <n v="330000"/>
    <s v="High"/>
    <s v="Expensive"/>
  </r>
  <r>
    <s v="O112"/>
    <d v="2026-09-12T00:00:00"/>
    <s v="P102"/>
    <s v="West"/>
    <n v="4"/>
    <s v="September"/>
    <n v="3"/>
    <x v="1"/>
    <s v="Accessories"/>
    <n v="2000"/>
    <n v="8000"/>
    <s v="Low"/>
    <s v="Affordable"/>
  </r>
  <r>
    <s v="O113"/>
    <d v="2026-09-13T00:00:00"/>
    <s v="P103"/>
    <s v="South"/>
    <n v="5"/>
    <s v="September"/>
    <n v="3"/>
    <x v="2"/>
    <s v="Accessories"/>
    <n v="1500"/>
    <n v="7500"/>
    <s v="Low"/>
    <s v="Affordable"/>
  </r>
  <r>
    <s v="O114"/>
    <d v="2026-09-14T00:00:00"/>
    <s v="P104"/>
    <s v="North"/>
    <n v="7"/>
    <s v="September"/>
    <n v="3"/>
    <x v="3"/>
    <s v="Electronics"/>
    <n v="12000"/>
    <n v="84000"/>
    <s v="Low"/>
    <s v="Affordable"/>
  </r>
  <r>
    <s v="O115"/>
    <d v="2026-09-15T00:00:00"/>
    <s v="P105"/>
    <s v="East"/>
    <n v="3"/>
    <s v="September"/>
    <n v="3"/>
    <x v="4"/>
    <s v="Furniture"/>
    <n v="8000"/>
    <n v="24000"/>
    <s v="Low"/>
    <s v="Affordable"/>
  </r>
  <r>
    <s v="O116"/>
    <d v="2026-09-16T00:00:00"/>
    <s v="P101"/>
    <s v="West"/>
    <n v="8"/>
    <s v="September"/>
    <n v="3"/>
    <x v="0"/>
    <s v="Electronics"/>
    <n v="55000"/>
    <n v="440000"/>
    <s v="High"/>
    <s v="Expensive"/>
  </r>
  <r>
    <s v="O117"/>
    <d v="2026-09-17T00:00:00"/>
    <s v="P102"/>
    <s v="South"/>
    <n v="2"/>
    <s v="September"/>
    <n v="3"/>
    <x v="1"/>
    <s v="Accessories"/>
    <n v="2000"/>
    <n v="4000"/>
    <s v="Low"/>
    <s v="Affordable"/>
  </r>
  <r>
    <s v="O118"/>
    <d v="2026-09-18T00:00:00"/>
    <s v="P103"/>
    <s v="North"/>
    <n v="4"/>
    <s v="September"/>
    <n v="3"/>
    <x v="2"/>
    <s v="Accessories"/>
    <n v="1500"/>
    <n v="6000"/>
    <s v="Low"/>
    <s v="Affordable"/>
  </r>
  <r>
    <s v="O119"/>
    <d v="2026-09-19T00:00:00"/>
    <s v="P104"/>
    <s v="East"/>
    <n v="6"/>
    <s v="September"/>
    <n v="3"/>
    <x v="3"/>
    <s v="Electronics"/>
    <n v="12000"/>
    <n v="72000"/>
    <s v="Low"/>
    <s v="Affordable"/>
  </r>
  <r>
    <s v="O120"/>
    <d v="2026-09-20T00:00:00"/>
    <s v="P105"/>
    <s v="West"/>
    <n v="5"/>
    <s v="September"/>
    <n v="3"/>
    <x v="4"/>
    <s v="Furniture"/>
    <n v="8000"/>
    <n v="40000"/>
    <s v="Low"/>
    <s v="Affordab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458E2-EBE4-4297-96DD-028A5211321F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12">
    <pivotField numFmtId="22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9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86FE7-8D28-45C0-82E8-B5F8C67644A0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9" firstHeaderRow="1" firstDataRow="1" firstDataCol="1"/>
  <pivotFields count="13">
    <pivotField showAll="0"/>
    <pivotField numFmtId="22" showAll="0"/>
    <pivotField showAll="0"/>
    <pivotField showAll="0"/>
    <pivotField dataField="1"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 Sold" fld="4" baseField="0" baseItem="0"/>
  </dataFields>
  <chartFormats count="3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16014-8F10-43DB-895E-F10CF8FE9546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2">
    <pivotField numFmtId="22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9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7FD6F-2624-4389-8349-2F5E37CC251F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4" firstHeaderRow="1" firstDataRow="1" firstDataCol="1"/>
  <pivotFields count="12">
    <pivotField axis="axisRow" numFmtId="22" showAll="0">
      <items count="21">
        <item x="0"/>
        <item x="2"/>
        <item x="3"/>
        <item x="4"/>
        <item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Sales Amount" fld="9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E030A348-3F7E-4A81-B02E-14CD42538ED2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Date" tableColumnId="2"/>
      <queryTableField id="3" name="ProductID" tableColumnId="3"/>
      <queryTableField id="4" name="Region" tableColumnId="4"/>
      <queryTableField id="5" name="Quantity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A4C8AC9-D1D8-42FB-B5A0-116425164BE9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ProductName" tableColumnId="2"/>
      <queryTableField id="3" name="Category" tableColumnId="3"/>
      <queryTableField id="4" name="UnitPric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1C25E75-DAC4-4C43-A4C4-EE8255F03484}" autoFormatId="16" applyNumberFormats="0" applyBorderFormats="0" applyFontFormats="0" applyPatternFormats="0" applyAlignmentFormats="0" applyWidthHeightFormats="0">
  <queryTableRefresh nextId="16">
    <queryTableFields count="13">
      <queryTableField id="1" name="OrderID" tableColumnId="1"/>
      <queryTableField id="2" name="Date" tableColumnId="2"/>
      <queryTableField id="3" name="ProductID" tableColumnId="3"/>
      <queryTableField id="4" name="Region" tableColumnId="4"/>
      <queryTableField id="5" name="Units Sold" tableColumnId="5"/>
      <queryTableField id="6" name="Month" tableColumnId="6"/>
      <queryTableField id="7" name="Quarter" tableColumnId="7"/>
      <queryTableField id="8" name="Product.ProductName" tableColumnId="8"/>
      <queryTableField id="9" name="Product.Category" tableColumnId="9"/>
      <queryTableField id="10" name="Product.UnitPrice" tableColumnId="10"/>
      <queryTableField id="12" name="Sales Amount" tableColumnId="12"/>
      <queryTableField id="13" name="Category" tableColumnId="13"/>
      <queryTableField id="14" name="Cost grp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8115D6-8D40-4210-8F9C-977AF6980715}" name="Additional" displayName="Additional" ref="A1:E6" tableType="queryTable" totalsRowShown="0">
  <autoFilter ref="A1:E6" xr:uid="{1B8115D6-8D40-4210-8F9C-977AF6980715}"/>
  <tableColumns count="5">
    <tableColumn id="1" xr3:uid="{1426FD50-200E-48E3-A2A9-D9862C472E64}" uniqueName="1" name="OrderID" queryTableFieldId="1" dataDxfId="6"/>
    <tableColumn id="2" xr3:uid="{195224EB-81FD-47A0-9088-325EC02CE48A}" uniqueName="2" name="Date" queryTableFieldId="2" dataDxfId="5"/>
    <tableColumn id="3" xr3:uid="{4B61A891-EA69-4CD9-8C52-387DA3144E01}" uniqueName="3" name="ProductID" queryTableFieldId="3" dataDxfId="4"/>
    <tableColumn id="4" xr3:uid="{F81060E8-4ED8-4327-BD42-E0C8F469B522}" uniqueName="4" name="Region" queryTableFieldId="4" dataDxfId="3"/>
    <tableColumn id="5" xr3:uid="{2A620210-6A82-4BD5-AB42-FD09577DA4C6}" uniqueName="5" name="Quantity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037C31-6E2B-4658-8018-4EF936BF2354}" name="Product" displayName="Product" ref="A1:D6" tableType="queryTable" totalsRowShown="0">
  <autoFilter ref="A1:D6" xr:uid="{0D037C31-6E2B-4658-8018-4EF936BF2354}"/>
  <tableColumns count="4">
    <tableColumn id="1" xr3:uid="{CA975BF0-2BFF-4A33-9259-CF4E7D8B9425}" uniqueName="1" name="ProductID" queryTableFieldId="1" dataDxfId="2"/>
    <tableColumn id="2" xr3:uid="{91A73FD4-7C02-4D76-8DCC-8466BBDD4AB8}" uniqueName="2" name="ProductName" queryTableFieldId="2" dataDxfId="1"/>
    <tableColumn id="3" xr3:uid="{93F82A96-7480-4B93-9BFF-540FE5FC6EFE}" uniqueName="3" name="Category" queryTableFieldId="3" dataDxfId="0"/>
    <tableColumn id="4" xr3:uid="{5525BBAA-926A-4C79-B954-6B163BB3EBA7}" uniqueName="4" name="UnitPric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EF3349-7A5C-4215-83B8-A8DBD2ADA57D}" name="Sales_Data" displayName="Sales_Data" ref="A1:M21" tableType="queryTable" totalsRowShown="0">
  <autoFilter ref="A1:M21" xr:uid="{04EF3349-7A5C-4215-83B8-A8DBD2ADA57D}"/>
  <tableColumns count="13">
    <tableColumn id="1" xr3:uid="{F5FEDBA1-A59E-4A8F-B0E0-F4FFD25D60E3}" uniqueName="1" name="OrderID" queryTableFieldId="1" dataDxfId="13"/>
    <tableColumn id="2" xr3:uid="{F0A8FB0B-1574-4134-97DB-09FF57C0A65F}" uniqueName="2" name="Date" queryTableFieldId="2" dataDxfId="12"/>
    <tableColumn id="3" xr3:uid="{F5DB74B3-DA21-4360-992C-E75FAA3696D9}" uniqueName="3" name="ProductID" queryTableFieldId="3" dataDxfId="11"/>
    <tableColumn id="4" xr3:uid="{3CCDFEE1-BE25-4FD3-9793-AA591083EFD5}" uniqueName="4" name="Region" queryTableFieldId="4" dataDxfId="10"/>
    <tableColumn id="5" xr3:uid="{CF266EB3-40CF-44B2-8E2D-F3D509BFFD91}" uniqueName="5" name="Units Sold" queryTableFieldId="5"/>
    <tableColumn id="6" xr3:uid="{68498460-B990-47D1-A4E4-2A127665833C}" uniqueName="6" name="Month" queryTableFieldId="6" dataDxfId="9"/>
    <tableColumn id="7" xr3:uid="{B1A11EBF-200A-4B9B-B607-831CF612CB57}" uniqueName="7" name="Quarter" queryTableFieldId="7"/>
    <tableColumn id="8" xr3:uid="{8C2E6602-B502-498F-A606-0445B931E3F1}" uniqueName="8" name="Product.ProductName" queryTableFieldId="8" dataDxfId="8"/>
    <tableColumn id="9" xr3:uid="{15AD691C-6E5F-4780-B0BA-07A93751783F}" uniqueName="9" name="Product.Category" queryTableFieldId="9" dataDxfId="7"/>
    <tableColumn id="10" xr3:uid="{259D739F-5821-42B5-AD8A-16E79E357477}" uniqueName="10" name="Product.UnitPrice" queryTableFieldId="10"/>
    <tableColumn id="12" xr3:uid="{CE5574F7-EFF3-4394-B02E-5CD8ED6A9D8C}" uniqueName="12" name="Sales Amount" queryTableFieldId="12"/>
    <tableColumn id="13" xr3:uid="{74A1456B-87A1-4488-84E1-26B1D10E8260}" uniqueName="13" name="Category" queryTableFieldId="13"/>
    <tableColumn id="14" xr3:uid="{8E4AD05C-40E2-4B25-9214-98F893B1B639}" uniqueName="14" name="Cost grp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EC8A-06E6-4A92-B975-13C7E3B1ACEC}">
  <dimension ref="A1:E6"/>
  <sheetViews>
    <sheetView workbookViewId="0"/>
  </sheetViews>
  <sheetFormatPr defaultRowHeight="14.4" x14ac:dyDescent="0.3"/>
  <cols>
    <col min="1" max="1" width="9.77734375" bestFit="1" customWidth="1"/>
    <col min="2" max="2" width="10.33203125" bestFit="1" customWidth="1"/>
    <col min="3" max="3" width="11.5546875" bestFit="1" customWidth="1"/>
    <col min="4" max="4" width="8.77734375" bestFit="1" customWidth="1"/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x14ac:dyDescent="0.3">
      <c r="A2" t="s">
        <v>49</v>
      </c>
      <c r="B2" s="1">
        <v>46286</v>
      </c>
      <c r="C2" t="s">
        <v>12</v>
      </c>
      <c r="D2" t="s">
        <v>13</v>
      </c>
      <c r="E2">
        <v>3</v>
      </c>
    </row>
    <row r="3" spans="1:5" x14ac:dyDescent="0.3">
      <c r="A3" t="s">
        <v>50</v>
      </c>
      <c r="B3" s="1">
        <v>46287</v>
      </c>
      <c r="C3" t="s">
        <v>24</v>
      </c>
      <c r="D3" t="s">
        <v>20</v>
      </c>
      <c r="E3">
        <v>6</v>
      </c>
    </row>
    <row r="4" spans="1:5" x14ac:dyDescent="0.3">
      <c r="A4" t="s">
        <v>51</v>
      </c>
      <c r="B4" s="1">
        <v>46288</v>
      </c>
      <c r="C4" t="s">
        <v>32</v>
      </c>
      <c r="D4" t="s">
        <v>25</v>
      </c>
      <c r="E4">
        <v>4</v>
      </c>
    </row>
    <row r="5" spans="1:5" x14ac:dyDescent="0.3">
      <c r="A5" t="s">
        <v>52</v>
      </c>
      <c r="B5" s="1">
        <v>46289</v>
      </c>
      <c r="C5" t="s">
        <v>19</v>
      </c>
      <c r="D5" t="s">
        <v>29</v>
      </c>
      <c r="E5">
        <v>5</v>
      </c>
    </row>
    <row r="6" spans="1:5" x14ac:dyDescent="0.3">
      <c r="A6" t="s">
        <v>53</v>
      </c>
      <c r="B6" s="1">
        <v>46290</v>
      </c>
      <c r="C6" t="s">
        <v>28</v>
      </c>
      <c r="D6" t="s">
        <v>13</v>
      </c>
      <c r="E6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DA2D-6694-47F1-8A5F-3EAC27545889}">
  <dimension ref="A1:D6"/>
  <sheetViews>
    <sheetView topLeftCell="AL1" workbookViewId="0"/>
  </sheetViews>
  <sheetFormatPr defaultRowHeight="14.4" x14ac:dyDescent="0.3"/>
  <cols>
    <col min="1" max="1" width="11.5546875" bestFit="1" customWidth="1"/>
    <col min="2" max="2" width="14.77734375" bestFit="1" customWidth="1"/>
    <col min="3" max="3" width="10.88671875" bestFit="1" customWidth="1"/>
    <col min="4" max="4" width="11" bestFit="1" customWidth="1"/>
  </cols>
  <sheetData>
    <row r="1" spans="1:4" x14ac:dyDescent="0.3">
      <c r="A1" t="s">
        <v>2</v>
      </c>
      <c r="B1" t="s">
        <v>54</v>
      </c>
      <c r="C1" t="s">
        <v>55</v>
      </c>
      <c r="D1" t="s">
        <v>56</v>
      </c>
    </row>
    <row r="2" spans="1:4" x14ac:dyDescent="0.3">
      <c r="A2" t="s">
        <v>12</v>
      </c>
      <c r="B2" t="s">
        <v>15</v>
      </c>
      <c r="C2" t="s">
        <v>16</v>
      </c>
      <c r="D2">
        <v>55000</v>
      </c>
    </row>
    <row r="3" spans="1:4" x14ac:dyDescent="0.3">
      <c r="A3" t="s">
        <v>19</v>
      </c>
      <c r="B3" t="s">
        <v>21</v>
      </c>
      <c r="C3" t="s">
        <v>22</v>
      </c>
      <c r="D3">
        <v>2000</v>
      </c>
    </row>
    <row r="4" spans="1:4" x14ac:dyDescent="0.3">
      <c r="A4" t="s">
        <v>24</v>
      </c>
      <c r="B4" t="s">
        <v>26</v>
      </c>
      <c r="C4" t="s">
        <v>22</v>
      </c>
      <c r="D4">
        <v>1500</v>
      </c>
    </row>
    <row r="5" spans="1:4" x14ac:dyDescent="0.3">
      <c r="A5" t="s">
        <v>28</v>
      </c>
      <c r="B5" t="s">
        <v>30</v>
      </c>
      <c r="C5" t="s">
        <v>16</v>
      </c>
      <c r="D5">
        <v>12000</v>
      </c>
    </row>
    <row r="6" spans="1:4" x14ac:dyDescent="0.3">
      <c r="A6" t="s">
        <v>32</v>
      </c>
      <c r="B6" t="s">
        <v>33</v>
      </c>
      <c r="C6" t="s">
        <v>34</v>
      </c>
      <c r="D6">
        <v>8000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43C8-824F-4D61-BFE2-AC5713690060}">
  <dimension ref="A3:B8"/>
  <sheetViews>
    <sheetView workbookViewId="0">
      <selection activeCell="E21" sqref="E21"/>
    </sheetView>
  </sheetViews>
  <sheetFormatPr defaultRowHeight="14.4" x14ac:dyDescent="0.3"/>
  <cols>
    <col min="1" max="1" width="12.44140625" bestFit="1" customWidth="1"/>
    <col min="2" max="2" width="18.5546875" bestFit="1" customWidth="1"/>
  </cols>
  <sheetData>
    <row r="3" spans="1:2" x14ac:dyDescent="0.3">
      <c r="A3" s="6" t="s">
        <v>90</v>
      </c>
      <c r="B3" t="s">
        <v>92</v>
      </c>
    </row>
    <row r="4" spans="1:2" x14ac:dyDescent="0.3">
      <c r="A4" s="7" t="s">
        <v>25</v>
      </c>
      <c r="B4" s="8">
        <v>452000</v>
      </c>
    </row>
    <row r="5" spans="1:2" x14ac:dyDescent="0.3">
      <c r="A5" s="7" t="s">
        <v>20</v>
      </c>
      <c r="B5" s="8">
        <v>160000</v>
      </c>
    </row>
    <row r="6" spans="1:2" x14ac:dyDescent="0.3">
      <c r="A6" s="7" t="s">
        <v>13</v>
      </c>
      <c r="B6" s="8">
        <v>614500</v>
      </c>
    </row>
    <row r="7" spans="1:2" x14ac:dyDescent="0.3">
      <c r="A7" s="7" t="s">
        <v>29</v>
      </c>
      <c r="B7" s="8">
        <v>516500</v>
      </c>
    </row>
    <row r="8" spans="1:2" x14ac:dyDescent="0.3">
      <c r="A8" s="7" t="s">
        <v>91</v>
      </c>
      <c r="B8" s="8">
        <v>1743000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DEBD-34FE-425C-9D00-8BD410103361}">
  <dimension ref="A3:B9"/>
  <sheetViews>
    <sheetView workbookViewId="0">
      <selection activeCell="J23" sqref="J23"/>
    </sheetView>
  </sheetViews>
  <sheetFormatPr defaultRowHeight="14.4" x14ac:dyDescent="0.3"/>
  <cols>
    <col min="1" max="1" width="12.44140625" bestFit="1" customWidth="1"/>
    <col min="2" max="2" width="15.5546875" bestFit="1" customWidth="1"/>
  </cols>
  <sheetData>
    <row r="3" spans="1:2" x14ac:dyDescent="0.3">
      <c r="A3" s="6" t="s">
        <v>90</v>
      </c>
      <c r="B3" t="s">
        <v>93</v>
      </c>
    </row>
    <row r="4" spans="1:2" x14ac:dyDescent="0.3">
      <c r="A4" s="7" t="s">
        <v>21</v>
      </c>
      <c r="B4" s="8">
        <v>16</v>
      </c>
    </row>
    <row r="5" spans="1:2" x14ac:dyDescent="0.3">
      <c r="A5" s="7" t="s">
        <v>26</v>
      </c>
      <c r="B5" s="8">
        <v>20</v>
      </c>
    </row>
    <row r="6" spans="1:2" x14ac:dyDescent="0.3">
      <c r="A6" s="7" t="s">
        <v>15</v>
      </c>
      <c r="B6" s="8">
        <v>23</v>
      </c>
    </row>
    <row r="7" spans="1:2" x14ac:dyDescent="0.3">
      <c r="A7" s="7" t="s">
        <v>30</v>
      </c>
      <c r="B7" s="8">
        <v>24</v>
      </c>
    </row>
    <row r="8" spans="1:2" x14ac:dyDescent="0.3">
      <c r="A8" s="7" t="s">
        <v>33</v>
      </c>
      <c r="B8" s="8">
        <v>16</v>
      </c>
    </row>
    <row r="9" spans="1:2" x14ac:dyDescent="0.3">
      <c r="A9" s="7" t="s">
        <v>91</v>
      </c>
      <c r="B9" s="8">
        <v>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9F0D8-909B-4E7C-80C0-1DE40141CCAD}">
  <dimension ref="A3:B7"/>
  <sheetViews>
    <sheetView workbookViewId="0">
      <selection activeCell="K17" sqref="K17"/>
    </sheetView>
  </sheetViews>
  <sheetFormatPr defaultRowHeight="14.4" x14ac:dyDescent="0.3"/>
  <cols>
    <col min="1" max="1" width="12.44140625" bestFit="1" customWidth="1"/>
    <col min="2" max="2" width="18.5546875" bestFit="1" customWidth="1"/>
  </cols>
  <sheetData>
    <row r="3" spans="1:2" x14ac:dyDescent="0.3">
      <c r="A3" s="6" t="s">
        <v>90</v>
      </c>
      <c r="B3" t="s">
        <v>92</v>
      </c>
    </row>
    <row r="4" spans="1:2" x14ac:dyDescent="0.3">
      <c r="A4" s="7" t="s">
        <v>22</v>
      </c>
      <c r="B4" s="8">
        <v>62000</v>
      </c>
    </row>
    <row r="5" spans="1:2" x14ac:dyDescent="0.3">
      <c r="A5" s="7" t="s">
        <v>16</v>
      </c>
      <c r="B5" s="8">
        <v>1553000</v>
      </c>
    </row>
    <row r="6" spans="1:2" x14ac:dyDescent="0.3">
      <c r="A6" s="7" t="s">
        <v>34</v>
      </c>
      <c r="B6" s="8">
        <v>128000</v>
      </c>
    </row>
    <row r="7" spans="1:2" x14ac:dyDescent="0.3">
      <c r="A7" s="7" t="s">
        <v>91</v>
      </c>
      <c r="B7" s="8">
        <v>1743000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D1CB-372E-480F-ACA4-787372D77842}">
  <dimension ref="A3:B24"/>
  <sheetViews>
    <sheetView tabSelected="1" workbookViewId="0">
      <selection activeCell="I24" sqref="I24"/>
    </sheetView>
  </sheetViews>
  <sheetFormatPr defaultRowHeight="14.4" x14ac:dyDescent="0.3"/>
  <cols>
    <col min="1" max="1" width="21.88671875" customWidth="1"/>
    <col min="2" max="2" width="18.5546875" bestFit="1" customWidth="1"/>
  </cols>
  <sheetData>
    <row r="3" spans="1:2" x14ac:dyDescent="0.3">
      <c r="A3" s="6" t="s">
        <v>90</v>
      </c>
      <c r="B3" t="s">
        <v>92</v>
      </c>
    </row>
    <row r="4" spans="1:2" x14ac:dyDescent="0.3">
      <c r="A4" s="9">
        <v>46266</v>
      </c>
      <c r="B4" s="8">
        <v>275000</v>
      </c>
    </row>
    <row r="5" spans="1:2" x14ac:dyDescent="0.3">
      <c r="A5" s="9">
        <v>46267</v>
      </c>
      <c r="B5" s="8">
        <v>6000</v>
      </c>
    </row>
    <row r="6" spans="1:2" x14ac:dyDescent="0.3">
      <c r="A6" s="9">
        <v>46268</v>
      </c>
      <c r="B6" s="8">
        <v>12000</v>
      </c>
    </row>
    <row r="7" spans="1:2" x14ac:dyDescent="0.3">
      <c r="A7" s="9">
        <v>46269</v>
      </c>
      <c r="B7" s="8">
        <v>24000</v>
      </c>
    </row>
    <row r="8" spans="1:2" x14ac:dyDescent="0.3">
      <c r="A8" s="9">
        <v>46270</v>
      </c>
      <c r="B8" s="8">
        <v>220000</v>
      </c>
    </row>
    <row r="9" spans="1:2" x14ac:dyDescent="0.3">
      <c r="A9" s="9">
        <v>46271</v>
      </c>
      <c r="B9" s="8">
        <v>48000</v>
      </c>
    </row>
    <row r="10" spans="1:2" x14ac:dyDescent="0.3">
      <c r="A10" s="9">
        <v>46272</v>
      </c>
      <c r="B10" s="8">
        <v>14000</v>
      </c>
    </row>
    <row r="11" spans="1:2" x14ac:dyDescent="0.3">
      <c r="A11" s="9">
        <v>46273</v>
      </c>
      <c r="B11" s="8">
        <v>4500</v>
      </c>
    </row>
    <row r="12" spans="1:2" x14ac:dyDescent="0.3">
      <c r="A12" s="9">
        <v>46274</v>
      </c>
      <c r="B12" s="8">
        <v>108000</v>
      </c>
    </row>
    <row r="13" spans="1:2" x14ac:dyDescent="0.3">
      <c r="A13" s="9">
        <v>46275</v>
      </c>
      <c r="B13" s="8">
        <v>16000</v>
      </c>
    </row>
    <row r="14" spans="1:2" x14ac:dyDescent="0.3">
      <c r="A14" s="9">
        <v>46276</v>
      </c>
      <c r="B14" s="8">
        <v>330000</v>
      </c>
    </row>
    <row r="15" spans="1:2" x14ac:dyDescent="0.3">
      <c r="A15" s="9">
        <v>46277</v>
      </c>
      <c r="B15" s="8">
        <v>8000</v>
      </c>
    </row>
    <row r="16" spans="1:2" x14ac:dyDescent="0.3">
      <c r="A16" s="9">
        <v>46278</v>
      </c>
      <c r="B16" s="8">
        <v>7500</v>
      </c>
    </row>
    <row r="17" spans="1:2" x14ac:dyDescent="0.3">
      <c r="A17" s="9">
        <v>46279</v>
      </c>
      <c r="B17" s="8">
        <v>84000</v>
      </c>
    </row>
    <row r="18" spans="1:2" x14ac:dyDescent="0.3">
      <c r="A18" s="9">
        <v>46280</v>
      </c>
      <c r="B18" s="8">
        <v>24000</v>
      </c>
    </row>
    <row r="19" spans="1:2" x14ac:dyDescent="0.3">
      <c r="A19" s="9">
        <v>46281</v>
      </c>
      <c r="B19" s="8">
        <v>440000</v>
      </c>
    </row>
    <row r="20" spans="1:2" x14ac:dyDescent="0.3">
      <c r="A20" s="9">
        <v>46282</v>
      </c>
      <c r="B20" s="8">
        <v>4000</v>
      </c>
    </row>
    <row r="21" spans="1:2" x14ac:dyDescent="0.3">
      <c r="A21" s="9">
        <v>46283</v>
      </c>
      <c r="B21" s="8">
        <v>6000</v>
      </c>
    </row>
    <row r="22" spans="1:2" x14ac:dyDescent="0.3">
      <c r="A22" s="9">
        <v>46284</v>
      </c>
      <c r="B22" s="8">
        <v>72000</v>
      </c>
    </row>
    <row r="23" spans="1:2" x14ac:dyDescent="0.3">
      <c r="A23" s="9">
        <v>46285</v>
      </c>
      <c r="B23" s="8">
        <v>40000</v>
      </c>
    </row>
    <row r="24" spans="1:2" x14ac:dyDescent="0.3">
      <c r="A24" s="9" t="s">
        <v>91</v>
      </c>
      <c r="B24" s="8">
        <v>1743000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441C-6A24-48ED-87F5-DD5505603500}">
  <dimension ref="A1:M21"/>
  <sheetViews>
    <sheetView workbookViewId="0">
      <selection activeCell="H1" activeCellId="1" sqref="E1:E1048576 H1:H1048576"/>
    </sheetView>
  </sheetViews>
  <sheetFormatPr defaultRowHeight="14.4" x14ac:dyDescent="0.3"/>
  <cols>
    <col min="1" max="1" width="9.77734375" bestFit="1" customWidth="1"/>
    <col min="2" max="2" width="15.33203125" bestFit="1" customWidth="1"/>
    <col min="3" max="3" width="11.5546875" bestFit="1" customWidth="1"/>
    <col min="4" max="4" width="8.77734375" bestFit="1" customWidth="1"/>
    <col min="5" max="5" width="11.6640625" bestFit="1" customWidth="1"/>
    <col min="6" max="6" width="9.77734375" bestFit="1" customWidth="1"/>
    <col min="7" max="7" width="9.5546875" bestFit="1" customWidth="1"/>
    <col min="8" max="8" width="22.109375" bestFit="1" customWidth="1"/>
    <col min="9" max="9" width="17.77734375" bestFit="1" customWidth="1"/>
    <col min="10" max="10" width="18.21875" bestFit="1" customWidth="1"/>
    <col min="11" max="11" width="14.5546875" bestFit="1" customWidth="1"/>
    <col min="12" max="12" width="10.5546875" bestFit="1" customWidth="1"/>
    <col min="13" max="13" width="10" bestFit="1" customWidth="1"/>
    <col min="14" max="14" width="10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57</v>
      </c>
      <c r="L1" t="s">
        <v>55</v>
      </c>
      <c r="M1" t="s">
        <v>58</v>
      </c>
    </row>
    <row r="2" spans="1:13" x14ac:dyDescent="0.3">
      <c r="A2" t="s">
        <v>11</v>
      </c>
      <c r="B2" s="2">
        <v>46266</v>
      </c>
      <c r="C2" t="s">
        <v>12</v>
      </c>
      <c r="D2" t="s">
        <v>13</v>
      </c>
      <c r="E2">
        <v>5</v>
      </c>
      <c r="F2" t="s">
        <v>14</v>
      </c>
      <c r="G2">
        <v>3</v>
      </c>
      <c r="H2" t="s">
        <v>15</v>
      </c>
      <c r="I2" t="s">
        <v>16</v>
      </c>
      <c r="J2">
        <v>55000</v>
      </c>
      <c r="K2">
        <v>275000</v>
      </c>
      <c r="L2" t="s">
        <v>59</v>
      </c>
      <c r="M2" t="s">
        <v>60</v>
      </c>
    </row>
    <row r="3" spans="1:13" x14ac:dyDescent="0.3">
      <c r="A3" t="s">
        <v>17</v>
      </c>
      <c r="B3" s="2">
        <v>46270</v>
      </c>
      <c r="C3" t="s">
        <v>12</v>
      </c>
      <c r="D3" t="s">
        <v>13</v>
      </c>
      <c r="E3">
        <v>4</v>
      </c>
      <c r="F3" t="s">
        <v>14</v>
      </c>
      <c r="G3">
        <v>3</v>
      </c>
      <c r="H3" t="s">
        <v>15</v>
      </c>
      <c r="I3" t="s">
        <v>16</v>
      </c>
      <c r="J3">
        <v>55000</v>
      </c>
      <c r="K3">
        <v>220000</v>
      </c>
      <c r="L3" t="s">
        <v>59</v>
      </c>
      <c r="M3" t="s">
        <v>60</v>
      </c>
    </row>
    <row r="4" spans="1:13" x14ac:dyDescent="0.3">
      <c r="A4" t="s">
        <v>18</v>
      </c>
      <c r="B4" s="2">
        <v>46267</v>
      </c>
      <c r="C4" t="s">
        <v>19</v>
      </c>
      <c r="D4" t="s">
        <v>20</v>
      </c>
      <c r="E4">
        <v>3</v>
      </c>
      <c r="F4" t="s">
        <v>14</v>
      </c>
      <c r="G4">
        <v>3</v>
      </c>
      <c r="H4" t="s">
        <v>21</v>
      </c>
      <c r="I4" t="s">
        <v>22</v>
      </c>
      <c r="J4">
        <v>2000</v>
      </c>
      <c r="K4">
        <v>6000</v>
      </c>
      <c r="L4" t="s">
        <v>61</v>
      </c>
      <c r="M4" t="s">
        <v>62</v>
      </c>
    </row>
    <row r="5" spans="1:13" x14ac:dyDescent="0.3">
      <c r="A5" t="s">
        <v>23</v>
      </c>
      <c r="B5" s="2">
        <v>46268</v>
      </c>
      <c r="C5" t="s">
        <v>24</v>
      </c>
      <c r="D5" t="s">
        <v>25</v>
      </c>
      <c r="E5">
        <v>8</v>
      </c>
      <c r="F5" t="s">
        <v>14</v>
      </c>
      <c r="G5">
        <v>3</v>
      </c>
      <c r="H5" t="s">
        <v>26</v>
      </c>
      <c r="I5" t="s">
        <v>22</v>
      </c>
      <c r="J5">
        <v>1500</v>
      </c>
      <c r="K5">
        <v>12000</v>
      </c>
      <c r="L5" t="s">
        <v>61</v>
      </c>
      <c r="M5" t="s">
        <v>62</v>
      </c>
    </row>
    <row r="6" spans="1:13" x14ac:dyDescent="0.3">
      <c r="A6" t="s">
        <v>27</v>
      </c>
      <c r="B6" s="2">
        <v>46269</v>
      </c>
      <c r="C6" t="s">
        <v>28</v>
      </c>
      <c r="D6" t="s">
        <v>29</v>
      </c>
      <c r="E6">
        <v>2</v>
      </c>
      <c r="F6" t="s">
        <v>14</v>
      </c>
      <c r="G6">
        <v>3</v>
      </c>
      <c r="H6" t="s">
        <v>30</v>
      </c>
      <c r="I6" t="s">
        <v>16</v>
      </c>
      <c r="J6">
        <v>12000</v>
      </c>
      <c r="K6">
        <v>24000</v>
      </c>
      <c r="L6" t="s">
        <v>61</v>
      </c>
      <c r="M6" t="s">
        <v>62</v>
      </c>
    </row>
    <row r="7" spans="1:13" x14ac:dyDescent="0.3">
      <c r="A7" t="s">
        <v>31</v>
      </c>
      <c r="B7" s="2">
        <v>46271</v>
      </c>
      <c r="C7" t="s">
        <v>32</v>
      </c>
      <c r="D7" t="s">
        <v>20</v>
      </c>
      <c r="E7">
        <v>6</v>
      </c>
      <c r="F7" t="s">
        <v>14</v>
      </c>
      <c r="G7">
        <v>3</v>
      </c>
      <c r="H7" t="s">
        <v>33</v>
      </c>
      <c r="I7" t="s">
        <v>34</v>
      </c>
      <c r="J7">
        <v>8000</v>
      </c>
      <c r="K7">
        <v>48000</v>
      </c>
      <c r="L7" t="s">
        <v>61</v>
      </c>
      <c r="M7" t="s">
        <v>62</v>
      </c>
    </row>
    <row r="8" spans="1:13" x14ac:dyDescent="0.3">
      <c r="A8" t="s">
        <v>35</v>
      </c>
      <c r="B8" s="2">
        <v>46272</v>
      </c>
      <c r="C8" t="s">
        <v>19</v>
      </c>
      <c r="D8" t="s">
        <v>25</v>
      </c>
      <c r="E8">
        <v>7</v>
      </c>
      <c r="F8" t="s">
        <v>14</v>
      </c>
      <c r="G8">
        <v>3</v>
      </c>
      <c r="H8" t="s">
        <v>21</v>
      </c>
      <c r="I8" t="s">
        <v>22</v>
      </c>
      <c r="J8">
        <v>2000</v>
      </c>
      <c r="K8">
        <v>14000</v>
      </c>
      <c r="L8" t="s">
        <v>61</v>
      </c>
      <c r="M8" t="s">
        <v>62</v>
      </c>
    </row>
    <row r="9" spans="1:13" x14ac:dyDescent="0.3">
      <c r="A9" t="s">
        <v>36</v>
      </c>
      <c r="B9" s="2">
        <v>46273</v>
      </c>
      <c r="C9" t="s">
        <v>24</v>
      </c>
      <c r="D9" t="s">
        <v>29</v>
      </c>
      <c r="E9">
        <v>3</v>
      </c>
      <c r="F9" t="s">
        <v>14</v>
      </c>
      <c r="G9">
        <v>3</v>
      </c>
      <c r="H9" t="s">
        <v>26</v>
      </c>
      <c r="I9" t="s">
        <v>22</v>
      </c>
      <c r="J9">
        <v>1500</v>
      </c>
      <c r="K9">
        <v>4500</v>
      </c>
      <c r="L9" t="s">
        <v>61</v>
      </c>
      <c r="M9" t="s">
        <v>62</v>
      </c>
    </row>
    <row r="10" spans="1:13" x14ac:dyDescent="0.3">
      <c r="A10" t="s">
        <v>37</v>
      </c>
      <c r="B10" s="2">
        <v>46274</v>
      </c>
      <c r="C10" t="s">
        <v>28</v>
      </c>
      <c r="D10" t="s">
        <v>13</v>
      </c>
      <c r="E10">
        <v>9</v>
      </c>
      <c r="F10" t="s">
        <v>14</v>
      </c>
      <c r="G10">
        <v>3</v>
      </c>
      <c r="H10" t="s">
        <v>30</v>
      </c>
      <c r="I10" t="s">
        <v>16</v>
      </c>
      <c r="J10">
        <v>12000</v>
      </c>
      <c r="K10">
        <v>108000</v>
      </c>
      <c r="L10" t="s">
        <v>61</v>
      </c>
      <c r="M10" t="s">
        <v>62</v>
      </c>
    </row>
    <row r="11" spans="1:13" x14ac:dyDescent="0.3">
      <c r="A11" t="s">
        <v>38</v>
      </c>
      <c r="B11" s="2">
        <v>46275</v>
      </c>
      <c r="C11" t="s">
        <v>32</v>
      </c>
      <c r="D11" t="s">
        <v>20</v>
      </c>
      <c r="E11">
        <v>2</v>
      </c>
      <c r="F11" t="s">
        <v>14</v>
      </c>
      <c r="G11">
        <v>3</v>
      </c>
      <c r="H11" t="s">
        <v>33</v>
      </c>
      <c r="I11" t="s">
        <v>34</v>
      </c>
      <c r="J11">
        <v>8000</v>
      </c>
      <c r="K11">
        <v>16000</v>
      </c>
      <c r="L11" t="s">
        <v>61</v>
      </c>
      <c r="M11" t="s">
        <v>62</v>
      </c>
    </row>
    <row r="12" spans="1:13" x14ac:dyDescent="0.3">
      <c r="A12" t="s">
        <v>39</v>
      </c>
      <c r="B12" s="2">
        <v>46276</v>
      </c>
      <c r="C12" t="s">
        <v>12</v>
      </c>
      <c r="D12" t="s">
        <v>25</v>
      </c>
      <c r="E12">
        <v>6</v>
      </c>
      <c r="F12" t="s">
        <v>14</v>
      </c>
      <c r="G12">
        <v>3</v>
      </c>
      <c r="H12" t="s">
        <v>15</v>
      </c>
      <c r="I12" t="s">
        <v>16</v>
      </c>
      <c r="J12">
        <v>55000</v>
      </c>
      <c r="K12">
        <v>330000</v>
      </c>
      <c r="L12" t="s">
        <v>59</v>
      </c>
      <c r="M12" t="s">
        <v>60</v>
      </c>
    </row>
    <row r="13" spans="1:13" x14ac:dyDescent="0.3">
      <c r="A13" t="s">
        <v>40</v>
      </c>
      <c r="B13" s="2">
        <v>46277</v>
      </c>
      <c r="C13" t="s">
        <v>19</v>
      </c>
      <c r="D13" t="s">
        <v>29</v>
      </c>
      <c r="E13">
        <v>4</v>
      </c>
      <c r="F13" t="s">
        <v>14</v>
      </c>
      <c r="G13">
        <v>3</v>
      </c>
      <c r="H13" t="s">
        <v>21</v>
      </c>
      <c r="I13" t="s">
        <v>22</v>
      </c>
      <c r="J13">
        <v>2000</v>
      </c>
      <c r="K13">
        <v>8000</v>
      </c>
      <c r="L13" t="s">
        <v>61</v>
      </c>
      <c r="M13" t="s">
        <v>62</v>
      </c>
    </row>
    <row r="14" spans="1:13" x14ac:dyDescent="0.3">
      <c r="A14" t="s">
        <v>41</v>
      </c>
      <c r="B14" s="2">
        <v>46278</v>
      </c>
      <c r="C14" t="s">
        <v>24</v>
      </c>
      <c r="D14" t="s">
        <v>13</v>
      </c>
      <c r="E14">
        <v>5</v>
      </c>
      <c r="F14" t="s">
        <v>14</v>
      </c>
      <c r="G14">
        <v>3</v>
      </c>
      <c r="H14" t="s">
        <v>26</v>
      </c>
      <c r="I14" t="s">
        <v>22</v>
      </c>
      <c r="J14">
        <v>1500</v>
      </c>
      <c r="K14">
        <v>7500</v>
      </c>
      <c r="L14" t="s">
        <v>61</v>
      </c>
      <c r="M14" t="s">
        <v>62</v>
      </c>
    </row>
    <row r="15" spans="1:13" x14ac:dyDescent="0.3">
      <c r="A15" t="s">
        <v>42</v>
      </c>
      <c r="B15" s="2">
        <v>46279</v>
      </c>
      <c r="C15" t="s">
        <v>28</v>
      </c>
      <c r="D15" t="s">
        <v>20</v>
      </c>
      <c r="E15">
        <v>7</v>
      </c>
      <c r="F15" t="s">
        <v>14</v>
      </c>
      <c r="G15">
        <v>3</v>
      </c>
      <c r="H15" t="s">
        <v>30</v>
      </c>
      <c r="I15" t="s">
        <v>16</v>
      </c>
      <c r="J15">
        <v>12000</v>
      </c>
      <c r="K15">
        <v>84000</v>
      </c>
      <c r="L15" t="s">
        <v>61</v>
      </c>
      <c r="M15" t="s">
        <v>62</v>
      </c>
    </row>
    <row r="16" spans="1:13" x14ac:dyDescent="0.3">
      <c r="A16" t="s">
        <v>43</v>
      </c>
      <c r="B16" s="2">
        <v>46280</v>
      </c>
      <c r="C16" t="s">
        <v>32</v>
      </c>
      <c r="D16" t="s">
        <v>25</v>
      </c>
      <c r="E16">
        <v>3</v>
      </c>
      <c r="F16" t="s">
        <v>14</v>
      </c>
      <c r="G16">
        <v>3</v>
      </c>
      <c r="H16" t="s">
        <v>33</v>
      </c>
      <c r="I16" t="s">
        <v>34</v>
      </c>
      <c r="J16">
        <v>8000</v>
      </c>
      <c r="K16">
        <v>24000</v>
      </c>
      <c r="L16" t="s">
        <v>61</v>
      </c>
      <c r="M16" t="s">
        <v>62</v>
      </c>
    </row>
    <row r="17" spans="1:13" x14ac:dyDescent="0.3">
      <c r="A17" t="s">
        <v>44</v>
      </c>
      <c r="B17" s="2">
        <v>46281</v>
      </c>
      <c r="C17" t="s">
        <v>12</v>
      </c>
      <c r="D17" t="s">
        <v>29</v>
      </c>
      <c r="E17">
        <v>8</v>
      </c>
      <c r="F17" t="s">
        <v>14</v>
      </c>
      <c r="G17">
        <v>3</v>
      </c>
      <c r="H17" t="s">
        <v>15</v>
      </c>
      <c r="I17" t="s">
        <v>16</v>
      </c>
      <c r="J17">
        <v>55000</v>
      </c>
      <c r="K17">
        <v>440000</v>
      </c>
      <c r="L17" t="s">
        <v>59</v>
      </c>
      <c r="M17" t="s">
        <v>60</v>
      </c>
    </row>
    <row r="18" spans="1:13" x14ac:dyDescent="0.3">
      <c r="A18" t="s">
        <v>45</v>
      </c>
      <c r="B18" s="2">
        <v>46282</v>
      </c>
      <c r="C18" t="s">
        <v>19</v>
      </c>
      <c r="D18" t="s">
        <v>13</v>
      </c>
      <c r="E18">
        <v>2</v>
      </c>
      <c r="F18" t="s">
        <v>14</v>
      </c>
      <c r="G18">
        <v>3</v>
      </c>
      <c r="H18" t="s">
        <v>21</v>
      </c>
      <c r="I18" t="s">
        <v>22</v>
      </c>
      <c r="J18">
        <v>2000</v>
      </c>
      <c r="K18">
        <v>4000</v>
      </c>
      <c r="L18" t="s">
        <v>61</v>
      </c>
      <c r="M18" t="s">
        <v>62</v>
      </c>
    </row>
    <row r="19" spans="1:13" x14ac:dyDescent="0.3">
      <c r="A19" t="s">
        <v>46</v>
      </c>
      <c r="B19" s="2">
        <v>46283</v>
      </c>
      <c r="C19" t="s">
        <v>24</v>
      </c>
      <c r="D19" t="s">
        <v>20</v>
      </c>
      <c r="E19">
        <v>4</v>
      </c>
      <c r="F19" t="s">
        <v>14</v>
      </c>
      <c r="G19">
        <v>3</v>
      </c>
      <c r="H19" t="s">
        <v>26</v>
      </c>
      <c r="I19" t="s">
        <v>22</v>
      </c>
      <c r="J19">
        <v>1500</v>
      </c>
      <c r="K19">
        <v>6000</v>
      </c>
      <c r="L19" t="s">
        <v>61</v>
      </c>
      <c r="M19" t="s">
        <v>62</v>
      </c>
    </row>
    <row r="20" spans="1:13" x14ac:dyDescent="0.3">
      <c r="A20" t="s">
        <v>47</v>
      </c>
      <c r="B20" s="2">
        <v>46284</v>
      </c>
      <c r="C20" t="s">
        <v>28</v>
      </c>
      <c r="D20" t="s">
        <v>25</v>
      </c>
      <c r="E20">
        <v>6</v>
      </c>
      <c r="F20" t="s">
        <v>14</v>
      </c>
      <c r="G20">
        <v>3</v>
      </c>
      <c r="H20" t="s">
        <v>30</v>
      </c>
      <c r="I20" t="s">
        <v>16</v>
      </c>
      <c r="J20">
        <v>12000</v>
      </c>
      <c r="K20">
        <v>72000</v>
      </c>
      <c r="L20" t="s">
        <v>61</v>
      </c>
      <c r="M20" t="s">
        <v>62</v>
      </c>
    </row>
    <row r="21" spans="1:13" x14ac:dyDescent="0.3">
      <c r="A21" t="s">
        <v>48</v>
      </c>
      <c r="B21" s="2">
        <v>46285</v>
      </c>
      <c r="C21" t="s">
        <v>32</v>
      </c>
      <c r="D21" t="s">
        <v>29</v>
      </c>
      <c r="E21">
        <v>5</v>
      </c>
      <c r="F21" t="s">
        <v>14</v>
      </c>
      <c r="G21">
        <v>3</v>
      </c>
      <c r="H21" t="s">
        <v>33</v>
      </c>
      <c r="I21" t="s">
        <v>34</v>
      </c>
      <c r="J21">
        <v>8000</v>
      </c>
      <c r="K21">
        <v>40000</v>
      </c>
      <c r="L21" t="s">
        <v>61</v>
      </c>
      <c r="M21" t="s">
        <v>62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3F61-904B-4444-B5FC-468FB8A8A6BF}">
  <dimension ref="A1:C9"/>
  <sheetViews>
    <sheetView workbookViewId="0">
      <selection activeCell="D6" sqref="D6"/>
    </sheetView>
  </sheetViews>
  <sheetFormatPr defaultColWidth="16.5546875" defaultRowHeight="41.4" customHeight="1" x14ac:dyDescent="0.3"/>
  <cols>
    <col min="1" max="1" width="21.109375" customWidth="1"/>
    <col min="2" max="2" width="63.21875" customWidth="1"/>
    <col min="3" max="3" width="28.21875" customWidth="1"/>
  </cols>
  <sheetData>
    <row r="1" spans="1:3" ht="41.4" customHeight="1" x14ac:dyDescent="0.3">
      <c r="A1" s="5" t="s">
        <v>63</v>
      </c>
      <c r="B1" s="5" t="s">
        <v>64</v>
      </c>
      <c r="C1" s="5" t="s">
        <v>65</v>
      </c>
    </row>
    <row r="2" spans="1:3" ht="41.4" customHeight="1" x14ac:dyDescent="0.3">
      <c r="A2" s="3" t="s">
        <v>66</v>
      </c>
      <c r="B2" s="4" t="s">
        <v>67</v>
      </c>
      <c r="C2" s="4" t="s">
        <v>68</v>
      </c>
    </row>
    <row r="3" spans="1:3" ht="41.4" customHeight="1" x14ac:dyDescent="0.3">
      <c r="A3" s="3" t="s">
        <v>69</v>
      </c>
      <c r="B3" s="4" t="s">
        <v>70</v>
      </c>
      <c r="C3" s="4" t="s">
        <v>71</v>
      </c>
    </row>
    <row r="4" spans="1:3" ht="41.4" customHeight="1" x14ac:dyDescent="0.3">
      <c r="A4" s="3" t="s">
        <v>72</v>
      </c>
      <c r="B4" s="4" t="s">
        <v>73</v>
      </c>
      <c r="C4" s="4" t="s">
        <v>74</v>
      </c>
    </row>
    <row r="5" spans="1:3" ht="41.4" customHeight="1" x14ac:dyDescent="0.3">
      <c r="A5" s="3" t="s">
        <v>75</v>
      </c>
      <c r="B5" s="4" t="s">
        <v>76</v>
      </c>
      <c r="C5" s="4" t="s">
        <v>77</v>
      </c>
    </row>
    <row r="6" spans="1:3" ht="41.4" customHeight="1" x14ac:dyDescent="0.3">
      <c r="A6" s="3" t="s">
        <v>78</v>
      </c>
      <c r="B6" s="4" t="s">
        <v>79</v>
      </c>
      <c r="C6" s="4" t="s">
        <v>80</v>
      </c>
    </row>
    <row r="7" spans="1:3" ht="41.4" customHeight="1" x14ac:dyDescent="0.3">
      <c r="A7" s="3" t="s">
        <v>81</v>
      </c>
      <c r="B7" s="4" t="s">
        <v>82</v>
      </c>
      <c r="C7" s="4" t="s">
        <v>83</v>
      </c>
    </row>
    <row r="8" spans="1:3" ht="41.4" customHeight="1" x14ac:dyDescent="0.3">
      <c r="A8" s="3" t="s">
        <v>84</v>
      </c>
      <c r="B8" s="4" t="s">
        <v>85</v>
      </c>
      <c r="C8" s="4" t="s">
        <v>86</v>
      </c>
    </row>
    <row r="9" spans="1:3" ht="41.4" customHeight="1" x14ac:dyDescent="0.3">
      <c r="A9" s="3" t="s">
        <v>87</v>
      </c>
      <c r="B9" s="4" t="s">
        <v>88</v>
      </c>
      <c r="C9" s="4" t="s">
        <v>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052235-D1A2-468C-93AC-B1DB4F231C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Additional</vt:lpstr>
      <vt:lpstr>Product</vt:lpstr>
      <vt:lpstr>Sales by Region</vt:lpstr>
      <vt:lpstr>Units by Product</vt:lpstr>
      <vt:lpstr>Sales by Category</vt:lpstr>
      <vt:lpstr>Sales trend</vt:lpstr>
      <vt:lpstr>Sales Data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SHREE JAYA SUNDAR</dc:creator>
  <cp:lastModifiedBy>SWETHA SHREE JAYA SUNDAR</cp:lastModifiedBy>
  <dcterms:created xsi:type="dcterms:W3CDTF">2026-09-29T14:27:33Z</dcterms:created>
  <dcterms:modified xsi:type="dcterms:W3CDTF">2026-10-05T15:06:34Z</dcterms:modified>
</cp:coreProperties>
</file>