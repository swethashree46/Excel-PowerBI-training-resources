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\AI NIXA\Excel-PowerBI-training-resources\Excel\"/>
    </mc:Choice>
  </mc:AlternateContent>
  <xr:revisionPtr revIDLastSave="0" documentId="8_{C1A3A966-0346-445E-B92A-8D11225E9309}" xr6:coauthVersionLast="47" xr6:coauthVersionMax="47" xr10:uidLastSave="{00000000-0000-0000-0000-000000000000}"/>
  <bookViews>
    <workbookView xWindow="-108" yWindow="-108" windowWidth="23256" windowHeight="12456" xr2:uid="{011AA15C-E6E2-450C-9658-670B40C3DF72}"/>
  </bookViews>
  <sheets>
    <sheet name="DV" sheetId="1" r:id="rId1"/>
    <sheet name="Con" sheetId="2" r:id="rId2"/>
  </sheets>
  <definedNames>
    <definedName name="_xlnm._FilterDatabase" localSheetId="0" hidden="1">DV!$A$1:$C$12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C12" i="1"/>
  <c r="B12" i="1"/>
  <c r="C9" i="1"/>
  <c r="B9" i="1"/>
  <c r="C7" i="1"/>
  <c r="B7" i="1"/>
  <c r="C5" i="1"/>
  <c r="B5" i="1"/>
  <c r="C3" i="1"/>
  <c r="C13" i="1" s="1"/>
  <c r="B3" i="1"/>
  <c r="E16" i="1" l="1"/>
  <c r="E14" i="1"/>
  <c r="F14" i="1"/>
  <c r="E15" i="1"/>
</calcChain>
</file>

<file path=xl/sharedStrings.xml><?xml version="1.0" encoding="utf-8"?>
<sst xmlns="http://schemas.openxmlformats.org/spreadsheetml/2006/main" count="145" uniqueCount="112">
  <si>
    <t>Employee</t>
  </si>
  <si>
    <t>Department</t>
  </si>
  <si>
    <t>Sales</t>
  </si>
  <si>
    <t>John</t>
  </si>
  <si>
    <t>Analytics</t>
  </si>
  <si>
    <t>Priya</t>
  </si>
  <si>
    <t>Engineering</t>
  </si>
  <si>
    <t>Arun</t>
  </si>
  <si>
    <t>Data Science</t>
  </si>
  <si>
    <t>Meena</t>
  </si>
  <si>
    <t>HR</t>
  </si>
  <si>
    <t>Rahul</t>
  </si>
  <si>
    <t>Student Name</t>
  </si>
  <si>
    <t>Course</t>
  </si>
  <si>
    <t>Mode</t>
  </si>
  <si>
    <t>Age</t>
  </si>
  <si>
    <t>Enrollment Date</t>
  </si>
  <si>
    <t>Payment Status</t>
  </si>
  <si>
    <t>S001</t>
  </si>
  <si>
    <t>Anu</t>
  </si>
  <si>
    <t>Online</t>
  </si>
  <si>
    <t>Paid</t>
  </si>
  <si>
    <t>Offline</t>
  </si>
  <si>
    <t>S003</t>
  </si>
  <si>
    <t>Divya</t>
  </si>
  <si>
    <t>S004</t>
  </si>
  <si>
    <t>SQL</t>
  </si>
  <si>
    <t>SUBTOTAL</t>
  </si>
  <si>
    <t>SUM</t>
  </si>
  <si>
    <t>1. DROP DOWN</t>
  </si>
  <si>
    <t>2. WHOLE NUMBER</t>
  </si>
  <si>
    <t>3. DATE</t>
  </si>
  <si>
    <t>4. CUSTOM</t>
  </si>
  <si>
    <t>Over</t>
  </si>
  <si>
    <t xml:space="preserve">input message </t>
  </si>
  <si>
    <t>Display when we are at the column</t>
  </si>
  <si>
    <t xml:space="preserve">error alert </t>
  </si>
  <si>
    <t>Display when we are entering the wrong values</t>
  </si>
  <si>
    <t>stop</t>
  </si>
  <si>
    <t>warning</t>
  </si>
  <si>
    <t>information</t>
  </si>
  <si>
    <t>age</t>
  </si>
  <si>
    <t>whole number</t>
  </si>
  <si>
    <t>greater than 18</t>
  </si>
  <si>
    <t>else stop</t>
  </si>
  <si>
    <t>Wont allow to enter the unappropriate value</t>
  </si>
  <si>
    <t>Just warn and we can continue if we want</t>
  </si>
  <si>
    <t>just an info, will continue</t>
  </si>
  <si>
    <t>EXCEL</t>
  </si>
  <si>
    <t>PYTHON</t>
  </si>
  <si>
    <t>Swe</t>
  </si>
  <si>
    <t>we</t>
  </si>
  <si>
    <t>online</t>
  </si>
  <si>
    <t>paid</t>
  </si>
  <si>
    <t xml:space="preserve">Student </t>
  </si>
  <si>
    <t>ID</t>
  </si>
  <si>
    <t>SWE</t>
  </si>
  <si>
    <t>QWER</t>
  </si>
  <si>
    <t>UJHH</t>
  </si>
  <si>
    <t>NAME</t>
  </si>
  <si>
    <t>Swetha</t>
  </si>
  <si>
    <t>Middle name</t>
  </si>
  <si>
    <t>Shree</t>
  </si>
  <si>
    <t>Last name</t>
  </si>
  <si>
    <t>J</t>
  </si>
  <si>
    <t>Full name</t>
  </si>
  <si>
    <t>Swetha shree J</t>
  </si>
  <si>
    <t xml:space="preserve">Jeya </t>
  </si>
  <si>
    <t>Prabha</t>
  </si>
  <si>
    <t>Jeya Prabha J</t>
  </si>
  <si>
    <t>Jaya</t>
  </si>
  <si>
    <t>Sundar</t>
  </si>
  <si>
    <t>K</t>
  </si>
  <si>
    <t>Grand Total</t>
  </si>
  <si>
    <t>Mary</t>
  </si>
  <si>
    <t>B</t>
  </si>
  <si>
    <t>Jeya</t>
  </si>
  <si>
    <t>Jeya prabha J</t>
  </si>
  <si>
    <t>Jaya sundar K</t>
  </si>
  <si>
    <t>Jaya mary B</t>
  </si>
  <si>
    <t>101-DA-CHN-2026</t>
  </si>
  <si>
    <t>102-DE-BLR-2025</t>
  </si>
  <si>
    <t>103-DEA-HYD-2024</t>
  </si>
  <si>
    <t>LOC</t>
  </si>
  <si>
    <t>YEAR</t>
  </si>
  <si>
    <t>CHN</t>
  </si>
  <si>
    <t>BLR</t>
  </si>
  <si>
    <t>HYD</t>
  </si>
  <si>
    <t>EMP ID</t>
  </si>
  <si>
    <t>ROLE</t>
  </si>
  <si>
    <t>DA</t>
  </si>
  <si>
    <t>DE</t>
  </si>
  <si>
    <t>DEA</t>
  </si>
  <si>
    <t>Analytics Total</t>
  </si>
  <si>
    <t>Engineering Total</t>
  </si>
  <si>
    <t>Data Science Total</t>
  </si>
  <si>
    <t>HR Total</t>
  </si>
  <si>
    <t>Product</t>
  </si>
  <si>
    <t>Month</t>
  </si>
  <si>
    <t>A</t>
  </si>
  <si>
    <t>C</t>
  </si>
  <si>
    <t>Quantity</t>
  </si>
  <si>
    <t>Jan</t>
  </si>
  <si>
    <t>Feb</t>
  </si>
  <si>
    <t>PRODUCT</t>
  </si>
  <si>
    <t>QUANTITY</t>
  </si>
  <si>
    <t>MONTH</t>
  </si>
  <si>
    <t>DATA VALIDATION AND REMOVE DUPLICATES</t>
  </si>
  <si>
    <t>FLASHFILL(CTRL E)</t>
  </si>
  <si>
    <t>TEXT TO COLUMN</t>
  </si>
  <si>
    <t>TRANSPOSE</t>
  </si>
  <si>
    <t>FLASHFILL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</si>
</sst>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C81C7-9BE2-427D-A451-C9A968E807EA}">
  <dimension ref="A1:Z26"/>
  <sheetViews>
    <sheetView tabSelected="1" topLeftCell="A3" workbookViewId="0">
      <selection activeCell="H23" sqref="H23"/>
    </sheetView>
  </sheetViews>
  <sheetFormatPr defaultColWidth="14.33203125" defaultRowHeight="14.4" outlineLevelRow="2" x14ac:dyDescent="0.3"/>
  <cols>
    <col min="8" max="8" width="22.109375" customWidth="1"/>
    <col min="9" max="14" width="14.33203125" customWidth="1"/>
    <col min="15" max="15" width="14.33203125" style="11" customWidth="1"/>
    <col min="16" max="16" width="14.33203125" customWidth="1"/>
    <col min="18" max="18" width="4.77734375" customWidth="1"/>
    <col min="20" max="20" width="20.33203125" customWidth="1"/>
  </cols>
  <sheetData>
    <row r="1" spans="1:26" ht="28.8" x14ac:dyDescent="0.3">
      <c r="A1" s="1" t="s">
        <v>0</v>
      </c>
      <c r="B1" s="1" t="s">
        <v>1</v>
      </c>
      <c r="C1" s="3" t="s">
        <v>2</v>
      </c>
      <c r="D1" s="15" t="s">
        <v>27</v>
      </c>
      <c r="H1" s="14" t="s">
        <v>107</v>
      </c>
      <c r="I1" t="s">
        <v>55</v>
      </c>
      <c r="J1" s="1" t="s">
        <v>54</v>
      </c>
      <c r="K1" s="1" t="s">
        <v>12</v>
      </c>
      <c r="L1" s="1" t="s">
        <v>13</v>
      </c>
      <c r="M1" s="1" t="s">
        <v>14</v>
      </c>
      <c r="N1" s="3" t="s">
        <v>15</v>
      </c>
      <c r="O1" s="9" t="s">
        <v>16</v>
      </c>
      <c r="P1" s="1" t="s">
        <v>17</v>
      </c>
    </row>
    <row r="2" spans="1:26" outlineLevel="2" x14ac:dyDescent="0.3">
      <c r="A2" s="4" t="s">
        <v>3</v>
      </c>
      <c r="B2" s="4" t="s">
        <v>4</v>
      </c>
      <c r="C2" s="6">
        <v>85000</v>
      </c>
      <c r="D2" s="15"/>
      <c r="H2" s="14"/>
      <c r="I2">
        <v>101</v>
      </c>
      <c r="J2" s="4" t="s">
        <v>18</v>
      </c>
      <c r="K2" s="4" t="s">
        <v>19</v>
      </c>
      <c r="L2" s="7" t="s">
        <v>48</v>
      </c>
      <c r="M2" s="4" t="s">
        <v>20</v>
      </c>
      <c r="N2" s="2">
        <v>22</v>
      </c>
      <c r="O2" s="10">
        <v>46270</v>
      </c>
      <c r="P2" s="4" t="s">
        <v>21</v>
      </c>
    </row>
    <row r="3" spans="1:26" outlineLevel="1" x14ac:dyDescent="0.3">
      <c r="A3" s="12" t="s">
        <v>93</v>
      </c>
      <c r="B3" s="4">
        <f>SUBTOTAL(9,B2:B2)</f>
        <v>0</v>
      </c>
      <c r="C3" s="6">
        <f>SUBTOTAL(9,C2:C2)</f>
        <v>85000</v>
      </c>
      <c r="D3" s="15"/>
      <c r="H3" s="14"/>
      <c r="J3" s="4"/>
      <c r="K3" s="4"/>
      <c r="L3" s="7"/>
      <c r="M3" s="4"/>
      <c r="N3" s="2"/>
      <c r="O3" s="10"/>
      <c r="P3" s="4"/>
    </row>
    <row r="4" spans="1:26" outlineLevel="2" x14ac:dyDescent="0.3">
      <c r="A4" s="4" t="s">
        <v>5</v>
      </c>
      <c r="B4" s="4" t="s">
        <v>6</v>
      </c>
      <c r="C4" s="6">
        <v>72000</v>
      </c>
      <c r="D4" s="15"/>
      <c r="H4" s="14"/>
      <c r="I4">
        <v>102</v>
      </c>
      <c r="J4" s="4" t="s">
        <v>23</v>
      </c>
      <c r="K4" s="4" t="s">
        <v>24</v>
      </c>
      <c r="L4" s="7" t="s">
        <v>49</v>
      </c>
      <c r="M4" s="4" t="s">
        <v>20</v>
      </c>
      <c r="N4" s="2">
        <v>21</v>
      </c>
      <c r="O4" s="10">
        <v>46272</v>
      </c>
      <c r="P4" s="4" t="s">
        <v>21</v>
      </c>
    </row>
    <row r="5" spans="1:26" ht="28.8" outlineLevel="1" x14ac:dyDescent="0.3">
      <c r="A5" s="12" t="s">
        <v>94</v>
      </c>
      <c r="B5" s="4">
        <f>SUBTOTAL(9,B4:B4)</f>
        <v>0</v>
      </c>
      <c r="C5" s="6">
        <f>SUBTOTAL(9,C4:C4)</f>
        <v>72000</v>
      </c>
      <c r="D5" s="15"/>
      <c r="H5" s="14"/>
      <c r="J5" s="4"/>
      <c r="K5" s="4"/>
      <c r="L5" s="7"/>
      <c r="M5" s="4"/>
      <c r="N5" s="2"/>
      <c r="O5" s="10"/>
      <c r="P5" s="4"/>
      <c r="W5" s="14" t="s">
        <v>109</v>
      </c>
      <c r="X5" s="14"/>
      <c r="Y5" s="14"/>
      <c r="Z5" s="14"/>
    </row>
    <row r="6" spans="1:26" outlineLevel="2" x14ac:dyDescent="0.3">
      <c r="A6" s="4" t="s">
        <v>7</v>
      </c>
      <c r="B6" s="4" t="s">
        <v>8</v>
      </c>
      <c r="C6" s="6">
        <v>95000</v>
      </c>
      <c r="D6" s="15"/>
      <c r="H6" s="14"/>
      <c r="I6">
        <v>103</v>
      </c>
      <c r="J6" s="4" t="s">
        <v>25</v>
      </c>
      <c r="K6" s="4" t="s">
        <v>11</v>
      </c>
      <c r="L6" s="7" t="s">
        <v>26</v>
      </c>
      <c r="M6" s="4" t="s">
        <v>22</v>
      </c>
      <c r="N6" s="2">
        <v>28</v>
      </c>
      <c r="O6" s="10">
        <v>46273</v>
      </c>
      <c r="P6" s="4" t="s">
        <v>21</v>
      </c>
      <c r="W6" t="s">
        <v>88</v>
      </c>
      <c r="X6" t="s">
        <v>89</v>
      </c>
      <c r="Y6" t="s">
        <v>83</v>
      </c>
      <c r="Z6" t="s">
        <v>84</v>
      </c>
    </row>
    <row r="7" spans="1:26" ht="28.8" outlineLevel="1" x14ac:dyDescent="0.3">
      <c r="A7" s="12" t="s">
        <v>95</v>
      </c>
      <c r="B7" s="4">
        <f>SUBTOTAL(9,B6:B6)</f>
        <v>0</v>
      </c>
      <c r="C7" s="6">
        <f>SUBTOTAL(9,C6:C6)</f>
        <v>95000</v>
      </c>
      <c r="D7" s="15"/>
      <c r="H7" s="14"/>
      <c r="J7" s="4"/>
      <c r="K7" s="4"/>
      <c r="L7" s="7"/>
      <c r="M7" s="4"/>
      <c r="N7" s="2"/>
      <c r="O7" s="10"/>
      <c r="P7" s="4"/>
    </row>
    <row r="8" spans="1:26" outlineLevel="2" x14ac:dyDescent="0.3">
      <c r="A8" s="4" t="s">
        <v>9</v>
      </c>
      <c r="B8" s="4" t="s">
        <v>10</v>
      </c>
      <c r="C8" s="6">
        <v>60000</v>
      </c>
      <c r="D8" s="15"/>
      <c r="H8" s="14"/>
      <c r="I8">
        <v>104</v>
      </c>
      <c r="J8" s="4" t="s">
        <v>25</v>
      </c>
      <c r="K8" s="4" t="s">
        <v>50</v>
      </c>
      <c r="L8" s="7" t="s">
        <v>51</v>
      </c>
      <c r="M8" s="4" t="s">
        <v>52</v>
      </c>
      <c r="N8" s="2">
        <v>19</v>
      </c>
      <c r="O8" s="11">
        <v>46275</v>
      </c>
      <c r="P8" s="4" t="s">
        <v>53</v>
      </c>
      <c r="W8">
        <v>101</v>
      </c>
      <c r="X8" t="s">
        <v>90</v>
      </c>
      <c r="Y8" t="s">
        <v>85</v>
      </c>
      <c r="Z8">
        <v>2026</v>
      </c>
    </row>
    <row r="9" spans="1:26" outlineLevel="1" x14ac:dyDescent="0.3">
      <c r="A9" s="12" t="s">
        <v>96</v>
      </c>
      <c r="B9" s="4">
        <f>SUBTOTAL(9,B8:B8)</f>
        <v>0</v>
      </c>
      <c r="C9" s="6">
        <f>SUBTOTAL(9,C8:C8)</f>
        <v>60000</v>
      </c>
      <c r="D9" s="15"/>
      <c r="H9" s="14"/>
      <c r="J9" s="4"/>
      <c r="K9" s="4"/>
      <c r="L9" s="7"/>
      <c r="M9" s="4"/>
      <c r="N9" s="2"/>
      <c r="P9" s="4"/>
    </row>
    <row r="10" spans="1:26" outlineLevel="2" x14ac:dyDescent="0.3">
      <c r="A10" s="4" t="s">
        <v>11</v>
      </c>
      <c r="B10" s="4" t="s">
        <v>4</v>
      </c>
      <c r="C10" s="6">
        <v>88000</v>
      </c>
      <c r="D10" s="15"/>
      <c r="E10" s="5"/>
      <c r="H10" s="14"/>
      <c r="I10">
        <v>104</v>
      </c>
      <c r="K10" s="4" t="s">
        <v>56</v>
      </c>
      <c r="L10" s="7" t="s">
        <v>57</v>
      </c>
      <c r="M10" s="4" t="s">
        <v>58</v>
      </c>
      <c r="N10" s="2">
        <v>12</v>
      </c>
      <c r="O10" s="10">
        <v>46273</v>
      </c>
      <c r="W10">
        <v>102</v>
      </c>
      <c r="X10" t="s">
        <v>91</v>
      </c>
      <c r="Y10" t="s">
        <v>86</v>
      </c>
      <c r="Z10">
        <v>2025</v>
      </c>
    </row>
    <row r="11" spans="1:26" outlineLevel="2" x14ac:dyDescent="0.3">
      <c r="A11" s="4" t="s">
        <v>11</v>
      </c>
      <c r="B11" s="4" t="s">
        <v>4</v>
      </c>
      <c r="C11" s="5">
        <v>88000</v>
      </c>
      <c r="D11" s="15"/>
      <c r="E11" t="s">
        <v>27</v>
      </c>
      <c r="F11" t="s">
        <v>28</v>
      </c>
      <c r="S11" s="14" t="s">
        <v>108</v>
      </c>
      <c r="T11" s="16" t="s">
        <v>55</v>
      </c>
      <c r="U11" s="16" t="s">
        <v>83</v>
      </c>
      <c r="V11" s="16" t="s">
        <v>84</v>
      </c>
      <c r="W11">
        <v>103</v>
      </c>
      <c r="X11" t="s">
        <v>92</v>
      </c>
      <c r="Y11" t="s">
        <v>87</v>
      </c>
      <c r="Z11">
        <v>2024</v>
      </c>
    </row>
    <row r="12" spans="1:26" outlineLevel="1" x14ac:dyDescent="0.3">
      <c r="A12" s="12" t="s">
        <v>93</v>
      </c>
      <c r="B12" s="4">
        <f>SUBTOTAL(9,B10:B11)</f>
        <v>0</v>
      </c>
      <c r="C12" s="5">
        <f>SUBTOTAL(9,C10:C11)</f>
        <v>176000</v>
      </c>
      <c r="D12" s="15"/>
      <c r="S12" s="14"/>
      <c r="T12" s="16"/>
      <c r="U12" s="16"/>
      <c r="V12" s="16"/>
    </row>
    <row r="13" spans="1:26" x14ac:dyDescent="0.3">
      <c r="A13" s="12" t="s">
        <v>73</v>
      </c>
      <c r="B13" s="4" t="e">
        <f>SUBTOTAL(A149,B2:B11)</f>
        <v>#VALUE!</v>
      </c>
      <c r="C13" s="5">
        <f>SUBTOTAL(9,C2:C11)</f>
        <v>488000</v>
      </c>
      <c r="D13" s="15"/>
      <c r="S13" s="14"/>
      <c r="T13" s="16"/>
      <c r="U13" s="16"/>
      <c r="V13" s="16"/>
    </row>
    <row r="14" spans="1:26" x14ac:dyDescent="0.3">
      <c r="A14" s="4"/>
      <c r="D14" s="15"/>
      <c r="E14">
        <f>SUBTOTAL(9,C2:C10)</f>
        <v>400000</v>
      </c>
      <c r="F14" s="5">
        <f>SUM(C2:C10)</f>
        <v>712000</v>
      </c>
      <c r="S14" s="14"/>
      <c r="T14" t="s">
        <v>80</v>
      </c>
      <c r="U14" t="s">
        <v>85</v>
      </c>
      <c r="V14">
        <v>2026</v>
      </c>
    </row>
    <row r="15" spans="1:26" x14ac:dyDescent="0.3">
      <c r="E15">
        <f>SUBTOTAL(1,C2:C15)</f>
        <v>81333.333333333328</v>
      </c>
      <c r="S15" s="14"/>
      <c r="T15" t="s">
        <v>81</v>
      </c>
      <c r="U15" t="s">
        <v>86</v>
      </c>
      <c r="V15">
        <v>2025</v>
      </c>
    </row>
    <row r="16" spans="1:26" x14ac:dyDescent="0.3">
      <c r="E16">
        <f>SUBTOTAL(4,C2:C10)</f>
        <v>95000</v>
      </c>
      <c r="S16" s="14"/>
      <c r="T16" t="s">
        <v>82</v>
      </c>
      <c r="U16" t="s">
        <v>87</v>
      </c>
      <c r="V16">
        <v>2024</v>
      </c>
    </row>
    <row r="17" spans="2:26" x14ac:dyDescent="0.3">
      <c r="I17" t="s">
        <v>29</v>
      </c>
      <c r="J17" t="s">
        <v>33</v>
      </c>
      <c r="K17" t="s">
        <v>34</v>
      </c>
      <c r="L17" t="s">
        <v>35</v>
      </c>
      <c r="Q17" t="s">
        <v>41</v>
      </c>
    </row>
    <row r="18" spans="2:26" x14ac:dyDescent="0.3">
      <c r="I18" t="s">
        <v>30</v>
      </c>
      <c r="K18" t="s">
        <v>36</v>
      </c>
      <c r="L18" t="s">
        <v>37</v>
      </c>
      <c r="Q18" t="s">
        <v>42</v>
      </c>
    </row>
    <row r="19" spans="2:26" x14ac:dyDescent="0.3">
      <c r="I19" t="s">
        <v>31</v>
      </c>
      <c r="Q19" t="s">
        <v>43</v>
      </c>
      <c r="W19" s="8" t="s">
        <v>110</v>
      </c>
      <c r="X19">
        <v>2026</v>
      </c>
      <c r="Y19">
        <v>2025</v>
      </c>
      <c r="Z19">
        <v>2024</v>
      </c>
    </row>
    <row r="20" spans="2:26" x14ac:dyDescent="0.3">
      <c r="I20" t="s">
        <v>32</v>
      </c>
      <c r="K20" t="s">
        <v>38</v>
      </c>
      <c r="L20" t="s">
        <v>45</v>
      </c>
      <c r="Q20" t="s">
        <v>44</v>
      </c>
    </row>
    <row r="21" spans="2:26" x14ac:dyDescent="0.3">
      <c r="K21" t="s">
        <v>39</v>
      </c>
      <c r="L21" t="s">
        <v>46</v>
      </c>
    </row>
    <row r="22" spans="2:26" x14ac:dyDescent="0.3">
      <c r="B22" s="14" t="s">
        <v>111</v>
      </c>
      <c r="C22" s="17" t="s">
        <v>59</v>
      </c>
      <c r="D22" s="17" t="s">
        <v>61</v>
      </c>
      <c r="E22" s="17" t="s">
        <v>63</v>
      </c>
      <c r="F22" s="17" t="s">
        <v>65</v>
      </c>
      <c r="K22" t="s">
        <v>40</v>
      </c>
      <c r="L22" t="s">
        <v>47</v>
      </c>
    </row>
    <row r="23" spans="2:26" x14ac:dyDescent="0.3">
      <c r="B23" s="14"/>
      <c r="C23" t="s">
        <v>60</v>
      </c>
      <c r="D23" t="s">
        <v>62</v>
      </c>
      <c r="E23" t="s">
        <v>64</v>
      </c>
      <c r="F23" t="s">
        <v>66</v>
      </c>
    </row>
    <row r="24" spans="2:26" x14ac:dyDescent="0.3">
      <c r="B24" s="14"/>
      <c r="C24" t="s">
        <v>76</v>
      </c>
      <c r="D24" t="s">
        <v>68</v>
      </c>
      <c r="E24" t="s">
        <v>64</v>
      </c>
      <c r="F24" t="s">
        <v>77</v>
      </c>
    </row>
    <row r="25" spans="2:26" x14ac:dyDescent="0.3">
      <c r="B25" s="14"/>
      <c r="C25" t="s">
        <v>70</v>
      </c>
      <c r="D25" t="s">
        <v>71</v>
      </c>
      <c r="E25" t="s">
        <v>72</v>
      </c>
      <c r="F25" t="s">
        <v>78</v>
      </c>
    </row>
    <row r="26" spans="2:26" x14ac:dyDescent="0.3">
      <c r="B26" s="14"/>
      <c r="C26" t="s">
        <v>70</v>
      </c>
      <c r="D26" t="s">
        <v>74</v>
      </c>
      <c r="E26" t="s">
        <v>75</v>
      </c>
      <c r="F26" t="s">
        <v>79</v>
      </c>
    </row>
  </sheetData>
  <autoFilter ref="A1:C12" xr:uid="{280C81C7-9BE2-427D-A451-C9A968E807EA}"/>
  <dataConsolidate topLabels="1">
    <dataRefs count="1">
      <dataRef ref="B2:B7" sheet="DV"/>
    </dataRefs>
  </dataConsolidate>
  <mergeCells count="5">
    <mergeCell ref="D1:D14"/>
    <mergeCell ref="H1:H10"/>
    <mergeCell ref="S11:S16"/>
    <mergeCell ref="W5:Z5"/>
    <mergeCell ref="B22:B26"/>
  </mergeCells>
  <dataValidations count="6">
    <dataValidation type="list" allowBlank="1" showInputMessage="1" showErrorMessage="1" sqref="J2 J4 J6 J8" xr:uid="{360376B6-7C41-4206-A134-C2B5B327F2FE}">
      <formula1>$J$2:$J$8</formula1>
    </dataValidation>
    <dataValidation type="whole" errorStyle="information" operator="greaterThan" allowBlank="1" showInputMessage="1" showErrorMessage="1" errorTitle="Dont Enter &lt;18" error="Age should bbe greater than 18" promptTitle="Age&gt;18" prompt="Enter Age &gt; 18" sqref="N15:N1048576 N1:N2 N4 N6 N8 N10" xr:uid="{C5716D93-EF02-48DD-A68E-6A44F7737565}">
      <formula1>18</formula1>
    </dataValidation>
    <dataValidation type="date" errorStyle="warning" operator="equal" allowBlank="1" showInputMessage="1" showErrorMessage="1" errorTitle="10TH SEPT" promptTitle="Only 10th Sept" prompt="Enter 10th SEPT " sqref="O15:O1048576 O1:O2 O4 O6 O8 O10" xr:uid="{0314A404-C4A5-433F-AB2D-E129052E2486}">
      <formula1>46275</formula1>
    </dataValidation>
    <dataValidation type="textLength" operator="lessThan" allowBlank="1" showInputMessage="1" showErrorMessage="1" sqref="K1:K2 K4 K6 K8 K10" xr:uid="{E6A712C6-2939-481C-9943-E4ADDBE7B398}">
      <formula1>10</formula1>
    </dataValidation>
    <dataValidation type="custom" allowBlank="1" showInputMessage="1" showErrorMessage="1" sqref="L2 L4 L8" xr:uid="{44A13554-E1C8-443E-A852-D605A95910C7}">
      <formula1>UPPER(L2:L8)</formula1>
    </dataValidation>
    <dataValidation type="custom" allowBlank="1" showInputMessage="1" showErrorMessage="1" sqref="L6" xr:uid="{4C955E66-11A2-4DFB-9C5B-7EFFC21863DE}">
      <formula1>UPPER(L6:L11)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1ECF-E0E3-4D0B-8440-794B03F8C4D3}">
  <dimension ref="A5:K10"/>
  <sheetViews>
    <sheetView topLeftCell="A3" workbookViewId="0">
      <selection activeCell="H15" sqref="H15"/>
    </sheetView>
  </sheetViews>
  <sheetFormatPr defaultRowHeight="14.4" x14ac:dyDescent="0.3"/>
  <cols>
    <col min="10" max="10" width="10.77734375" customWidth="1"/>
    <col min="11" max="11" width="11.88671875" customWidth="1"/>
  </cols>
  <sheetData>
    <row r="5" spans="1:11" x14ac:dyDescent="0.3">
      <c r="I5" t="s">
        <v>106</v>
      </c>
      <c r="J5" t="s">
        <v>104</v>
      </c>
      <c r="K5" t="s">
        <v>105</v>
      </c>
    </row>
    <row r="6" spans="1:11" x14ac:dyDescent="0.3">
      <c r="I6" t="s">
        <v>102</v>
      </c>
      <c r="K6">
        <v>151</v>
      </c>
    </row>
    <row r="7" spans="1:11" x14ac:dyDescent="0.3">
      <c r="A7" t="s">
        <v>98</v>
      </c>
      <c r="B7" t="s">
        <v>97</v>
      </c>
      <c r="C7" t="s">
        <v>101</v>
      </c>
      <c r="E7" t="s">
        <v>98</v>
      </c>
      <c r="F7" t="s">
        <v>97</v>
      </c>
      <c r="G7" t="s">
        <v>101</v>
      </c>
      <c r="I7" t="s">
        <v>103</v>
      </c>
      <c r="K7">
        <v>391</v>
      </c>
    </row>
    <row r="8" spans="1:11" x14ac:dyDescent="0.3">
      <c r="A8" s="13" t="s">
        <v>102</v>
      </c>
      <c r="B8" t="s">
        <v>99</v>
      </c>
      <c r="C8">
        <v>50</v>
      </c>
      <c r="E8" t="s">
        <v>103</v>
      </c>
      <c r="F8" t="s">
        <v>99</v>
      </c>
      <c r="G8">
        <v>20</v>
      </c>
    </row>
    <row r="9" spans="1:11" x14ac:dyDescent="0.3">
      <c r="A9" s="13" t="s">
        <v>102</v>
      </c>
      <c r="B9" t="s">
        <v>75</v>
      </c>
      <c r="C9">
        <v>34</v>
      </c>
      <c r="E9" t="s">
        <v>103</v>
      </c>
      <c r="F9" t="s">
        <v>75</v>
      </c>
      <c r="G9">
        <v>314</v>
      </c>
    </row>
    <row r="10" spans="1:11" x14ac:dyDescent="0.3">
      <c r="A10" s="13" t="s">
        <v>102</v>
      </c>
      <c r="B10" t="s">
        <v>100</v>
      </c>
      <c r="C10">
        <v>67</v>
      </c>
      <c r="E10" t="s">
        <v>103</v>
      </c>
      <c r="F10" t="s">
        <v>100</v>
      </c>
      <c r="G10">
        <v>57</v>
      </c>
    </row>
  </sheetData>
  <dataConsolidate leftLabels="1" topLabels="1">
    <dataRefs count="2">
      <dataRef ref="A7:C10" sheet="Con"/>
      <dataRef ref="E7:G10" sheet="Con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DV</vt:lpstr>
      <vt:lpstr>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SHREE JAYA SUNDAR</dc:creator>
  <cp:lastModifiedBy>SWETHA SHREE JAYA SUNDAR</cp:lastModifiedBy>
  <dcterms:created xsi:type="dcterms:W3CDTF">2026-09-15T14:27:02Z</dcterms:created>
  <dcterms:modified xsi:type="dcterms:W3CDTF">2026-09-16T15:21:38Z</dcterms:modified>
</cp:coreProperties>
</file>